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65d5ac07a746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59b581b28713492b"/>
    <x:sheet xmlns:r="http://schemas.openxmlformats.org/officeDocument/2006/relationships" name="Data" sheetId="2" r:id="Rf8a77bb47ad445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mmm yyyy"/>
    <x:numFmt numFmtId="201" formatCode="₹#,##0"/>
    <x:numFmt numFmtId="202" formatCode="0.0%"/>
  </x:numFmts>
  <x:fonts count="6">
    <x:font>
      <x:sz val="11"/>
      <x:name val="Carlito"/>
    </x:font>
    <x:font>
      <x:b/>
      <x:sz val="11"/>
      <x:color rgb="FFFFFFFF"/>
      <x:name val="Carlito"/>
    </x:font>
    <x:font>
      <x:b/>
      <x:sz val="22"/>
      <x:color rgb="FFFFFFFF"/>
      <x:name val="Carlito"/>
    </x:font>
    <x:font>
      <x:i/>
      <x:sz val="11"/>
      <x:color rgb="FF12335B"/>
      <x:name val="Carlito"/>
    </x:font>
    <x:font>
      <x:b/>
      <x:sz val="18"/>
      <x:color rgb="FF0F172A"/>
      <x:name val="Carlito"/>
    </x:font>
    <x:font>
      <x:i/>
      <x:sz val="11"/>
      <x:color rgb="FF334155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2335B"/>
      </x:patternFill>
    </x:fill>
    <x:fill>
      <x:patternFill patternType="solid">
        <x:fgColor rgb="FF081A33"/>
      </x:patternFill>
    </x:fill>
    <x:fill>
      <x:patternFill patternType="solid">
        <x:fgColor rgb="FFDCEBFF"/>
      </x:patternFill>
    </x:fill>
    <x:fill>
      <x:patternFill patternType="solid">
        <x:fgColor rgb="FF2563EB"/>
      </x:patternFill>
    </x:fill>
    <x:fill>
      <x:patternFill patternType="solid">
        <x:fgColor rgb="FFF8FAFC"/>
      </x:patternFill>
    </x:fill>
    <x:fill>
      <x:patternFill patternType="solid">
        <x:fgColor rgb="FFEFF6FF"/>
      </x:patternFill>
    </x:fill>
  </x:fills>
  <x:borders count="8">
    <x:border/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D8E1EC"/>
      </x:left>
      <x:right style="thin">
        <x:color rgb="FFD8E1EC"/>
      </x:right>
      <x:top style="thin">
        <x:color rgb="FFD8E1EC"/>
      </x:top>
      <x:bottom style="thin">
        <x:color rgb="FFD8E1EC"/>
      </x:bottom>
    </x:border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" xfId="0" applyNumberFormat="1" applyFont="1" applyFill="1" applyBorder="1"/>
    <x:xf numFmtId="0" fontId="4" fillId="6" borderId="2" xfId="0" applyNumberFormat="1" applyFont="1" applyFill="1" applyBorder="1"/>
    <x:xf numFmtId="0" fontId="4" fillId="6" borderId="3" xfId="0" applyNumberFormat="1" applyFont="1" applyFill="1" applyBorder="1"/>
    <x:xf numFmtId="0" fontId="4" fillId="6" borderId="4" xfId="0" applyNumberFormat="1" applyFont="1" applyFill="1" applyBorder="1"/>
    <x:xf numFmtId="0" fontId="4" fillId="6" borderId="5" xfId="0" applyNumberFormat="1" applyFont="1" applyFill="1" applyBorder="1"/>
    <x:xf numFmtId="0" fontId="4" fillId="6" borderId="6" xfId="0" applyNumberFormat="1" applyFont="1" applyFill="1" applyBorder="1"/>
    <x:xf numFmtId="0" fontId="4" fillId="6" borderId="1" xfId="0" applyNumberFormat="1" applyFont="1" applyFill="1" applyBorder="1" applyAlignment="1">
      <x:alignment horizontal="center"/>
    </x:xf>
    <x:xf numFmtId="0" fontId="4" fillId="6" borderId="2" xfId="0" applyNumberFormat="1" applyFont="1" applyFill="1" applyBorder="1" applyAlignment="1">
      <x:alignment horizontal="center"/>
    </x:xf>
    <x:xf numFmtId="0" fontId="4" fillId="6" borderId="3" xfId="0" applyNumberFormat="1" applyFont="1" applyFill="1" applyBorder="1" applyAlignment="1">
      <x:alignment horizontal="center"/>
    </x:xf>
    <x:xf numFmtId="0" fontId="4" fillId="6" borderId="4" xfId="0" applyNumberFormat="1" applyFont="1" applyFill="1" applyBorder="1" applyAlignment="1">
      <x:alignment horizontal="center"/>
    </x:xf>
    <x:xf numFmtId="0" fontId="4" fillId="6" borderId="5" xfId="0" applyNumberFormat="1" applyFont="1" applyFill="1" applyBorder="1" applyAlignment="1">
      <x:alignment horizontal="center"/>
    </x:xf>
    <x:xf numFmtId="0" fontId="4" fillId="6" borderId="6" xfId="0" applyNumberFormat="1" applyFont="1" applyFill="1" applyBorder="1" applyAlignment="1">
      <x:alignment horizontal="center"/>
    </x:xf>
    <x:xf numFmtId="0" fontId="4" fillId="6" borderId="1" xfId="0" applyNumberFormat="1" applyFont="1" applyFill="1" applyBorder="1" applyAlignment="1">
      <x:alignment horizontal="center" vertical="center"/>
    </x:xf>
    <x:xf numFmtId="0" fontId="4" fillId="6" borderId="2" xfId="0" applyNumberFormat="1" applyFont="1" applyFill="1" applyBorder="1" applyAlignment="1">
      <x:alignment horizontal="center" vertical="center"/>
    </x:xf>
    <x:xf numFmtId="0" fontId="4" fillId="6" borderId="3" xfId="0" applyNumberFormat="1" applyFont="1" applyFill="1" applyBorder="1" applyAlignment="1">
      <x:alignment horizontal="center" vertical="center"/>
    </x:xf>
    <x:xf numFmtId="0" fontId="4" fillId="6" borderId="4" xfId="0" applyNumberFormat="1" applyFont="1" applyFill="1" applyBorder="1" applyAlignment="1">
      <x:alignment horizontal="center" vertical="center"/>
    </x:xf>
    <x:xf numFmtId="0" fontId="4" fillId="6" borderId="5" xfId="0" applyNumberFormat="1" applyFont="1" applyFill="1" applyBorder="1" applyAlignment="1">
      <x:alignment horizontal="center" vertical="center"/>
    </x:xf>
    <x:xf numFmtId="0" fontId="4" fillId="6" borderId="6" xfId="0" applyNumberFormat="1" applyFont="1" applyFill="1" applyBorder="1" applyAlignment="1">
      <x:alignment horizontal="center" vertical="center"/>
    </x:xf>
    <x:xf numFmtId="201" fontId="4" fillId="6" borderId="1" xfId="0" applyNumberFormat="1" applyFont="1" applyFill="1" applyBorder="1" applyAlignment="1">
      <x:alignment horizontal="center" vertical="center"/>
    </x:xf>
    <x:xf numFmtId="201" fontId="4" fillId="6" borderId="2" xfId="0" applyNumberFormat="1" applyFont="1" applyFill="1" applyBorder="1" applyAlignment="1">
      <x:alignment horizontal="center" vertical="center"/>
    </x:xf>
    <x:xf numFmtId="201" fontId="4" fillId="6" borderId="4" xfId="0" applyNumberFormat="1" applyFont="1" applyFill="1" applyBorder="1" applyAlignment="1">
      <x:alignment horizontal="center" vertical="center"/>
    </x:xf>
    <x:xf numFmtId="201" fontId="4" fillId="6" borderId="5" xfId="0" applyNumberFormat="1" applyFont="1" applyFill="1" applyBorder="1" applyAlignment="1">
      <x:alignment horizontal="center" vertical="center"/>
    </x:xf>
    <x:xf numFmtId="202" fontId="4" fillId="6" borderId="2" xfId="0" applyNumberFormat="1" applyFont="1" applyFill="1" applyBorder="1" applyAlignment="1">
      <x:alignment horizontal="center" vertical="center"/>
    </x:xf>
    <x:xf numFmtId="202" fontId="4" fillId="6" borderId="3" xfId="0" applyNumberFormat="1" applyFont="1" applyFill="1" applyBorder="1" applyAlignment="1">
      <x:alignment horizontal="center" vertical="center"/>
    </x:xf>
    <x:xf numFmtId="202" fontId="4" fillId="6" borderId="5" xfId="0" applyNumberFormat="1" applyFont="1" applyFill="1" applyBorder="1" applyAlignment="1">
      <x:alignment horizontal="center" vertical="center"/>
    </x:xf>
    <x:xf numFmtId="202" fontId="4" fillId="6" borderId="6" xfId="0" applyNumberFormat="1" applyFont="1" applyFill="1" applyBorder="1" applyAlignment="1">
      <x:alignment horizontal="center" vertical="center"/>
    </x:xf>
    <x:xf numFmtId="0" fontId="1" fillId="2" borderId="7" xfId="0" applyNumberFormat="1" applyFont="1" applyFill="1" applyBorder="1"/>
    <x:xf numFmtId="0" fontId="0" fillId="0" borderId="7" xfId="0" applyNumberFormat="1" applyFont="1" applyFill="1" applyBorder="1"/>
    <x:xf numFmtId="201" fontId="0" fillId="0" borderId="7" xfId="0" applyNumberFormat="1" applyFont="1" applyFill="1" applyBorder="1"/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4f4ae1abde4c60" /><Relationship Type="http://schemas.openxmlformats.org/officeDocument/2006/relationships/theme" Target="/xl/theme/theme1.xml" Id="R45134aae041b4b6b" /><Relationship Type="http://schemas.openxmlformats.org/officeDocument/2006/relationships/sharedStrings" Target="/xl/sharedStrings.xml" Id="Ra53fa7656e574a48" /><Relationship Type="http://schemas.openxmlformats.org/officeDocument/2006/relationships/worksheet" Target="/xl/worksheets/sheet1.xml" Id="R59b581b28713492b" /><Relationship Type="http://schemas.openxmlformats.org/officeDocument/2006/relationships/worksheet" Target="/xl/worksheets/sheet2.xml" Id="Rf8a77bb47ad4459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c6eebd82e114aa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Received value vs Ordered value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Ordered value</c:v>
          </c:tx>
          <c:cat>
            <c:strRef>
              <c:f>'Dashboard'!$A$11:$A$13</c:f>
              <c:strCache>
                <c:ptCount val="0"/>
              </c:strCache>
            </c:strRef>
          </c:cat>
          <c:val>
            <c:numRef>
              <c:f>'Dashboard'!$B$11:$B$13</c:f>
              <c:numCache>
                <c:formatCode>₹#,##0</c:formatCode>
                <c:ptCount val="0"/>
              </c:numCache>
            </c:numRef>
          </c:val>
        </c:ser>
        <c:ser>
          <c:idx val="1"/>
          <c:order val="1"/>
          <c:tx>
            <c:v>Received value</c:v>
          </c:tx>
          <c:cat>
            <c:strRef>
              <c:f>'Dashboard'!$A$11:$A$13</c:f>
              <c:strCache>
                <c:ptCount val="0"/>
              </c:strCache>
            </c:strRef>
          </c:cat>
          <c:val>
            <c:numRef>
              <c:f>'Dashboard'!$C$11:$C$13</c:f>
              <c:numCache>
                <c:formatCode>₹#,##0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₹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9</xdr:row>
      <xdr:rowOff>0</xdr:rowOff>
    </xdr:from>
    <xdr:to>
      <xdr:col>12</xdr:col>
      <xdr:colOff>0</xdr:colOff>
      <xdr:row>26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c6eebd82e114aa8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ProjectTable16" displayName="ProjectTable16" ref="A1:H13" headerRowCount="1" totalsRowCount="0" totalsRowShown="0">
  <x:tableColumns count="8">
    <x:tableColumn id="1" name="Date"/>
    <x:tableColumn id="2" name="Supplier"/>
    <x:tableColumn id="3" name="Category"/>
    <x:tableColumn id="4" name="Ordered value"/>
    <x:tableColumn id="5" name="Received value"/>
    <x:tableColumn id="6" name="Variance"/>
    <x:tableColumn id="7" name="Achievement"/>
    <x:tableColumn id="8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907f2f7c4e74b4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3d4560e4c68483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4" customHeight="1">
      <x:c r="A1" s="8" t="str">
        <x:v>Purchase Order Log</x:v>
      </x:c>
      <x:c r="B1" s="8"/>
      <x:c r="C1" s="8"/>
      <x:c r="D1" s="8"/>
      <x:c r="E1" s="8"/>
      <x:c r="F1" s="8"/>
      <x:c r="G1" s="8"/>
      <x:c r="H1" s="8"/>
    </x:row>
    <x:row r="2" ht="34" customHeight="1">
      <x:c r="A2" s="8"/>
      <x:c r="B2" s="8"/>
      <x:c r="C2" s="8"/>
      <x:c r="D2" s="8"/>
      <x:c r="E2" s="8"/>
      <x:c r="F2" s="8"/>
      <x:c r="G2" s="8"/>
      <x:c r="H2" s="8"/>
    </x:row>
    <x:row r="3" ht="22" customHeight="1">
      <x:c r="A3" s="10" t="str">
        <x:v>Formula-driven portfolio workbook - edit the Data sheet to update every KPI and chart</x:v>
      </x:c>
      <x:c r="B3" s="10"/>
      <x:c r="C3" s="10"/>
      <x:c r="D3" s="10"/>
      <x:c r="E3" s="10"/>
      <x:c r="F3" s="10"/>
      <x:c r="G3" s="10"/>
      <x:c r="H3" s="10"/>
    </x:row>
    <x:row r="4" ht="22" customHeight="1"/>
    <x:row r="5" ht="22" customHeight="1">
      <x:c r="A5" s="13" t="str">
        <x:v>Ordered value total</x:v>
      </x:c>
      <x:c r="B5" s="13"/>
      <x:c r="C5" s="13" t="str">
        <x:v>Received value total</x:v>
      </x:c>
      <x:c r="D5" s="13"/>
      <x:c r="E5" s="13" t="str">
        <x:v>Achievement</x:v>
      </x:c>
      <x:c r="F5" s="13"/>
    </x:row>
    <x:row r="6" ht="22" customHeight="1">
      <x:c r="A6" s="34" t="n">
        <x:f>SUM('Data'!D2:D13)</x:f>
        <x:v>328200</x:v>
      </x:c>
      <x:c r="B6" s="35"/>
      <x:c r="C6" s="35" t="n">
        <x:f>SUM('Data'!E2:E13)</x:f>
        <x:v>311027</x:v>
      </x:c>
      <x:c r="D6" s="35"/>
      <x:c r="E6" s="38" t="n">
        <x:f>IFERROR(C6/A6,0)</x:f>
        <x:v>0.9476751980499696</x:v>
      </x:c>
      <x:c r="F6" s="39"/>
    </x:row>
    <x:row r="7" ht="22" customHeight="1">
      <x:c r="A7" s="36"/>
      <x:c r="B7" s="37"/>
      <x:c r="C7" s="37"/>
      <x:c r="D7" s="37"/>
      <x:c r="E7" s="40"/>
      <x:c r="F7" s="41"/>
    </x:row>
    <x:row r="8" ht="22" customHeight="1"/>
    <x:row r="9" ht="22" customHeight="1"/>
    <x:row r="10" ht="22" customHeight="1">
      <x:c r="A10" s="42" t="str">
        <x:v>Category</x:v>
      </x:c>
      <x:c r="B10" s="42" t="str">
        <x:v>Ordered value</x:v>
      </x:c>
      <x:c r="C10" s="42" t="str">
        <x:v>Received value</x:v>
      </x:c>
    </x:row>
    <x:row r="11" ht="22" customHeight="1">
      <x:c r="A11" s="43" t="str">
        <x:v>Local</x:v>
      </x:c>
      <x:c r="B11" s="44" t="n">
        <x:f>SUMIF('Data'!$C$2:$C$13,A11,'Data'!$D$2:$D$13)</x:f>
        <x:v>105800</x:v>
      </x:c>
      <x:c r="C11" s="44" t="n">
        <x:f>SUMIF('Data'!$C$2:$C$13,A11,'Data'!$E$2:$E$13)</x:f>
        <x:v>96796</x:v>
      </x:c>
    </x:row>
    <x:row r="12" ht="22" customHeight="1">
      <x:c r="A12" s="43" t="str">
        <x:v>Regional</x:v>
      </x:c>
      <x:c r="B12" s="44" t="n">
        <x:f>SUMIF('Data'!$C$2:$C$13,A12,'Data'!$D$2:$D$13)</x:f>
        <x:v>109400</x:v>
      </x:c>
      <x:c r="C12" s="44" t="n">
        <x:f>SUMIF('Data'!$C$2:$C$13,A12,'Data'!$E$2:$E$13)</x:f>
        <x:v>107766</x:v>
      </x:c>
    </x:row>
    <x:row r="13" ht="22" customHeight="1">
      <x:c r="A13" s="43" t="str">
        <x:v>Online</x:v>
      </x:c>
      <x:c r="B13" s="44" t="n">
        <x:f>SUMIF('Data'!$C$2:$C$13,A13,'Data'!$D$2:$D$13)</x:f>
        <x:v>113000</x:v>
      </x:c>
      <x:c r="C13" s="44" t="n">
        <x:f>SUMIF('Data'!$C$2:$C$13,A13,'Data'!$E$2:$E$13)</x:f>
        <x:v>106465</x:v>
      </x:c>
    </x:row>
    <x:row r="14" ht="22" customHeight="1"/>
    <x:row r="15" ht="22" customHeight="1"/>
    <x:row r="16" ht="22" customHeight="1"/>
    <x:row r="17" ht="22" customHeight="1"/>
    <x:row r="18" ht="22" customHeight="1"/>
    <x:row r="19" ht="22" customHeight="1"/>
    <x:row r="20" ht="22" customHeight="1"/>
    <x:row r="21" ht="22" customHeight="1"/>
    <x:row r="22" ht="22" customHeight="1"/>
    <x:row r="23" ht="22" customHeight="1"/>
    <x:row r="24" ht="22" customHeight="1"/>
    <x:row r="25" ht="22" customHeight="1"/>
    <x:row r="26" ht="22" customHeight="1"/>
    <x:row r="27" ht="22" customHeight="1"/>
    <x:row r="28" ht="22" customHeight="1">
      <x:c r="A28" s="47" t="str">
        <x:v>Synthetic portfolio data. Replace rows on the Data sheet; formulas and chart update automatically.</x:v>
      </x:c>
      <x:c r="B28" s="47"/>
      <x:c r="C28" s="47"/>
      <x:c r="D28" s="47"/>
      <x:c r="E28" s="47"/>
      <x:c r="F28" s="47"/>
      <x:c r="G28" s="47"/>
      <x:c r="H28" s="47"/>
    </x:row>
    <x:row r="29" ht="22" customHeight="1">
      <x:c r="A29" s="47"/>
      <x:c r="B29" s="47"/>
      <x:c r="C29" s="47"/>
      <x:c r="D29" s="47"/>
      <x:c r="E29" s="47"/>
      <x:c r="F29" s="47"/>
      <x:c r="G29" s="47"/>
      <x:c r="H29" s="47"/>
    </x:row>
  </x:sheetData>
  <x:mergeCells>
    <x:mergeCell ref="A1:H2"/>
    <x:mergeCell ref="A3:H3"/>
    <x:mergeCell ref="A5:B5"/>
    <x:mergeCell ref="C5:D5"/>
    <x:mergeCell ref="E5:F5"/>
    <x:mergeCell ref="A6:B7"/>
    <x:mergeCell ref="C6:D7"/>
    <x:mergeCell ref="E6:F7"/>
    <x:mergeCell ref="A28:H29"/>
  </x:mergeCells>
  <x:pageMargins left="0.7" right="0.7" top="0.75" bottom="0.75" header="0.3" footer="0.3"/>
  <x:drawing xmlns:r="http://schemas.openxmlformats.org/officeDocument/2006/relationships" r:id="R2907f2f7c4e74b4e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670000076293945" hidden="0" customWidth="1"/>
    <x:col min="2" max="2" width="24" hidden="0" customWidth="1"/>
    <x:col min="3" max="3" width="9.779999732971191" hidden="0" customWidth="1"/>
    <x:col min="4" max="4" width="13.670000076293945" hidden="0" customWidth="1"/>
    <x:col min="5" max="5" width="14.4399995803833" hidden="0" customWidth="1"/>
    <x:col min="6" max="6" width="9.5600004196167" hidden="0" customWidth="1"/>
    <x:col min="7" max="7" width="12.890000343322754" hidden="0" customWidth="1"/>
    <x:col min="8" max="8" width="7.670000076293945" hidden="0" customWidth="1"/>
  </x:cols>
  <x:sheetData>
    <x:row r="1" ht="28" customHeight="1">
      <x:c r="A1" s="2" t="str">
        <x:v>Date</x:v>
      </x:c>
      <x:c r="B1" s="2" t="str">
        <x:v>Supplier</x:v>
      </x:c>
      <x:c r="C1" s="2" t="str">
        <x:v>Category</x:v>
      </x:c>
      <x:c r="D1" s="2" t="str">
        <x:v>Ordered value</x:v>
      </x:c>
      <x:c r="E1" s="2" t="str">
        <x:v>Received value</x:v>
      </x:c>
      <x:c r="F1" s="2" t="str">
        <x:v>Variance</x:v>
      </x:c>
      <x:c r="G1" s="2" t="str">
        <x:v>Achievement</x:v>
      </x:c>
      <x:c r="H1" s="2" t="str">
        <x:v>Status</x:v>
      </x:c>
    </x:row>
    <x:row r="2">
      <x:c r="A2" s="3" t="n">
        <x:v>46023</x:v>
      </x:c>
      <x:c r="B2" t="str">
        <x:v>Supplier 01</x:v>
      </x:c>
      <x:c r="C2" t="str">
        <x:v>Local</x:v>
      </x:c>
      <x:c r="D2" s="4" t="n">
        <x:v>22400</x:v>
      </x:c>
      <x:c r="E2" s="4" t="n">
        <x:v>21952</x:v>
      </x:c>
      <x:c r="F2" s="4" t="n">
        <x:f>E2-D2</x:f>
        <x:v>-448</x:v>
      </x:c>
      <x:c r="G2" s="5" t="n">
        <x:f>IFERROR(E2/D2,0)</x:f>
        <x:v>0.98</x:v>
      </x:c>
      <x:c r="H2" t="str">
        <x:f>IF(E2&gt;=D2,"Met","Missed")</x:f>
        <x:v>Missed</x:v>
      </x:c>
    </x:row>
    <x:row r="3">
      <x:c r="A3" s="3" t="n">
        <x:v>46054</x:v>
      </x:c>
      <x:c r="B3" t="str">
        <x:v>Supplier 02</x:v>
      </x:c>
      <x:c r="C3" t="str">
        <x:v>Regional</x:v>
      </x:c>
      <x:c r="D3" s="4" t="n">
        <x:v>23300</x:v>
      </x:c>
      <x:c r="E3" s="4" t="n">
        <x:v>24465</x:v>
      </x:c>
      <x:c r="F3" s="4" t="n">
        <x:f>E3-D3</x:f>
        <x:v>1165</x:v>
      </x:c>
      <x:c r="G3" s="5" t="n">
        <x:f>IFERROR(E3/D3,0)</x:f>
        <x:v>1.05</x:v>
      </x:c>
      <x:c r="H3" t="str">
        <x:f>IF(E3&gt;=D3,"Met","Missed")</x:f>
        <x:v>Met</x:v>
      </x:c>
    </x:row>
    <x:row r="4">
      <x:c r="A4" s="3" t="n">
        <x:v>46082</x:v>
      </x:c>
      <x:c r="B4" t="str">
        <x:v>Supplier 03</x:v>
      </x:c>
      <x:c r="C4" t="str">
        <x:v>Online</x:v>
      </x:c>
      <x:c r="D4" s="4" t="n">
        <x:v>24200</x:v>
      </x:c>
      <x:c r="E4" s="4" t="n">
        <x:v>21054</x:v>
      </x:c>
      <x:c r="F4" s="4" t="n">
        <x:f>E4-D4</x:f>
        <x:v>-3146</x:v>
      </x:c>
      <x:c r="G4" s="5" t="n">
        <x:f>IFERROR(E4/D4,0)</x:f>
        <x:v>0.87</x:v>
      </x:c>
      <x:c r="H4" t="str">
        <x:f>IF(E4&gt;=D4,"Met","Missed")</x:f>
        <x:v>Missed</x:v>
      </x:c>
    </x:row>
    <x:row r="5">
      <x:c r="A5" s="3" t="n">
        <x:v>46113</x:v>
      </x:c>
      <x:c r="B5" t="str">
        <x:v>Supplier 04</x:v>
      </x:c>
      <x:c r="C5" t="str">
        <x:v>Local</x:v>
      </x:c>
      <x:c r="D5" s="4" t="n">
        <x:v>25100</x:v>
      </x:c>
      <x:c r="E5" s="4" t="n">
        <x:v>23594</x:v>
      </x:c>
      <x:c r="F5" s="4" t="n">
        <x:f>E5-D5</x:f>
        <x:v>-1506</x:v>
      </x:c>
      <x:c r="G5" s="5" t="n">
        <x:f>IFERROR(E5/D5,0)</x:f>
        <x:v>0.94</x:v>
      </x:c>
      <x:c r="H5" t="str">
        <x:f>IF(E5&gt;=D5,"Met","Missed")</x:f>
        <x:v>Missed</x:v>
      </x:c>
    </x:row>
    <x:row r="6">
      <x:c r="A6" s="3" t="n">
        <x:v>46143</x:v>
      </x:c>
      <x:c r="B6" t="str">
        <x:v>Supplier 05</x:v>
      </x:c>
      <x:c r="C6" t="str">
        <x:v>Regional</x:v>
      </x:c>
      <x:c r="D6" s="4" t="n">
        <x:v>26000</x:v>
      </x:c>
      <x:c r="E6" s="4" t="n">
        <x:v>26260</x:v>
      </x:c>
      <x:c r="F6" s="4" t="n">
        <x:f>E6-D6</x:f>
        <x:v>260</x:v>
      </x:c>
      <x:c r="G6" s="5" t="n">
        <x:f>IFERROR(E6/D6,0)</x:f>
        <x:v>1.01</x:v>
      </x:c>
      <x:c r="H6" t="str">
        <x:f>IF(E6&gt;=D6,"Met","Missed")</x:f>
        <x:v>Met</x:v>
      </x:c>
    </x:row>
    <x:row r="7">
      <x:c r="A7" s="3" t="n">
        <x:v>46174</x:v>
      </x:c>
      <x:c r="B7" t="str">
        <x:v>Supplier 06</x:v>
      </x:c>
      <x:c r="C7" t="str">
        <x:v>Online</x:v>
      </x:c>
      <x:c r="D7" s="4" t="n">
        <x:v>26900</x:v>
      </x:c>
      <x:c r="E7" s="4" t="n">
        <x:v>22327</x:v>
      </x:c>
      <x:c r="F7" s="4" t="n">
        <x:f>E7-D7</x:f>
        <x:v>-4573</x:v>
      </x:c>
      <x:c r="G7" s="5" t="n">
        <x:f>IFERROR(E7/D7,0)</x:f>
        <x:v>0.83</x:v>
      </x:c>
      <x:c r="H7" t="str">
        <x:f>IF(E7&gt;=D7,"Met","Missed")</x:f>
        <x:v>Missed</x:v>
      </x:c>
    </x:row>
    <x:row r="8">
      <x:c r="A8" s="3" t="n">
        <x:v>46204</x:v>
      </x:c>
      <x:c r="B8" t="str">
        <x:v>Supplier 07</x:v>
      </x:c>
      <x:c r="C8" t="str">
        <x:v>Local</x:v>
      </x:c>
      <x:c r="D8" s="4" t="n">
        <x:v>27800</x:v>
      </x:c>
      <x:c r="E8" s="4" t="n">
        <x:v>25020</x:v>
      </x:c>
      <x:c r="F8" s="4" t="n">
        <x:f>E8-D8</x:f>
        <x:v>-2780</x:v>
      </x:c>
      <x:c r="G8" s="5" t="n">
        <x:f>IFERROR(E8/D8,0)</x:f>
        <x:v>0.9</x:v>
      </x:c>
      <x:c r="H8" t="str">
        <x:f>IF(E8&gt;=D8,"Met","Missed")</x:f>
        <x:v>Missed</x:v>
      </x:c>
    </x:row>
    <x:row r="9">
      <x:c r="A9" s="3" t="n">
        <x:v>46235</x:v>
      </x:c>
      <x:c r="B9" t="str">
        <x:v>Supplier 08</x:v>
      </x:c>
      <x:c r="C9" t="str">
        <x:v>Regional</x:v>
      </x:c>
      <x:c r="D9" s="4" t="n">
        <x:v>28700</x:v>
      </x:c>
      <x:c r="E9" s="4" t="n">
        <x:v>27839</x:v>
      </x:c>
      <x:c r="F9" s="4" t="n">
        <x:f>E9-D9</x:f>
        <x:v>-861</x:v>
      </x:c>
      <x:c r="G9" s="5" t="n">
        <x:f>IFERROR(E9/D9,0)</x:f>
        <x:v>0.97</x:v>
      </x:c>
      <x:c r="H9" t="str">
        <x:f>IF(E9&gt;=D9,"Met","Missed")</x:f>
        <x:v>Missed</x:v>
      </x:c>
    </x:row>
    <x:row r="10">
      <x:c r="A10" s="3" t="n">
        <x:v>46266</x:v>
      </x:c>
      <x:c r="B10" t="str">
        <x:v>Supplier 09</x:v>
      </x:c>
      <x:c r="C10" t="str">
        <x:v>Online</x:v>
      </x:c>
      <x:c r="D10" s="4" t="n">
        <x:v>29600</x:v>
      </x:c>
      <x:c r="E10" s="4" t="n">
        <x:v>30784</x:v>
      </x:c>
      <x:c r="F10" s="4" t="n">
        <x:f>E10-D10</x:f>
        <x:v>1184</x:v>
      </x:c>
      <x:c r="G10" s="5" t="n">
        <x:f>IFERROR(E10/D10,0)</x:f>
        <x:v>1.04</x:v>
      </x:c>
      <x:c r="H10" t="str">
        <x:f>IF(E10&gt;=D10,"Met","Missed")</x:f>
        <x:v>Met</x:v>
      </x:c>
    </x:row>
    <x:row r="11">
      <x:c r="A11" s="3" t="n">
        <x:v>46296</x:v>
      </x:c>
      <x:c r="B11" t="str">
        <x:v>Supplier 10</x:v>
      </x:c>
      <x:c r="C11" t="str">
        <x:v>Local</x:v>
      </x:c>
      <x:c r="D11" s="4" t="n">
        <x:v>30500</x:v>
      </x:c>
      <x:c r="E11" s="4" t="n">
        <x:v>26230</x:v>
      </x:c>
      <x:c r="F11" s="4" t="n">
        <x:f>E11-D11</x:f>
        <x:v>-4270</x:v>
      </x:c>
      <x:c r="G11" s="5" t="n">
        <x:f>IFERROR(E11/D11,0)</x:f>
        <x:v>0.86</x:v>
      </x:c>
      <x:c r="H11" t="str">
        <x:f>IF(E11&gt;=D11,"Met","Missed")</x:f>
        <x:v>Missed</x:v>
      </x:c>
    </x:row>
    <x:row r="12">
      <x:c r="A12" s="3" t="n">
        <x:v>46327</x:v>
      </x:c>
      <x:c r="B12" t="str">
        <x:v>Supplier 11</x:v>
      </x:c>
      <x:c r="C12" t="str">
        <x:v>Regional</x:v>
      </x:c>
      <x:c r="D12" s="4" t="n">
        <x:v>31400</x:v>
      </x:c>
      <x:c r="E12" s="4" t="n">
        <x:v>29202</x:v>
      </x:c>
      <x:c r="F12" s="4" t="n">
        <x:f>E12-D12</x:f>
        <x:v>-2198</x:v>
      </x:c>
      <x:c r="G12" s="5" t="n">
        <x:f>IFERROR(E12/D12,0)</x:f>
        <x:v>0.93</x:v>
      </x:c>
      <x:c r="H12" t="str">
        <x:f>IF(E12&gt;=D12,"Met","Missed")</x:f>
        <x:v>Missed</x:v>
      </x:c>
    </x:row>
    <x:row r="13">
      <x:c r="A13" s="3" t="n">
        <x:v>46357</x:v>
      </x:c>
      <x:c r="B13" t="str">
        <x:v>Supplier 12</x:v>
      </x:c>
      <x:c r="C13" t="str">
        <x:v>Online</x:v>
      </x:c>
      <x:c r="D13" s="4" t="n">
        <x:v>32300</x:v>
      </x:c>
      <x:c r="E13" s="4" t="n">
        <x:v>32300</x:v>
      </x:c>
      <x:c r="F13" s="4" t="n">
        <x:f>E13-D13</x:f>
        <x:v>0</x:v>
      </x:c>
      <x:c r="G13" s="5" t="n">
        <x:f>IFERROR(E13/D13,0)</x:f>
        <x:v>1</x:v>
      </x:c>
      <x:c r="H13" t="str">
        <x:f>IF(E13&gt;=D13,"Met","Missed")</x:f>
        <x:v>Met</x:v>
      </x:c>
    </x:row>
  </x:sheetData>
  <x:conditionalFormatting sqref="H2:H13">
    <x:cfRule type="containsText" dxfId="0" priority="1" operator="containsText" text="Met"/>
    <x:cfRule type="containsText" dxfId="1" priority="2" operator="containsText" text="Missed"/>
  </x:conditionalFormatting>
  <x:pageMargins left="0.7" right="0.7" top="0.75" bottom="0.75" header="0.3" footer="0.3"/>
  <x:tableParts count="1">
    <x:tablePart xmlns:r="http://schemas.openxmlformats.org/officeDocument/2006/relationships" r:id="Rb3d4560e4c68483e"/>
  </x:tableParts>
</x:worksheet>
</file>