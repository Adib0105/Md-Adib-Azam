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1f0d534cd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131f4a47f14bae"/>
    <x:sheet xmlns:r="http://schemas.openxmlformats.org/officeDocument/2006/relationships" name="Data" sheetId="2" r:id="R5fb6c8ef4f06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9748961314309" /><Relationship Type="http://schemas.openxmlformats.org/officeDocument/2006/relationships/theme" Target="/xl/theme/theme1.xml" Id="R34b3b6ca63264cc7" /><Relationship Type="http://schemas.openxmlformats.org/officeDocument/2006/relationships/sharedStrings" Target="/xl/sharedStrings.xml" Id="R5259c3d550e540fe" /><Relationship Type="http://schemas.openxmlformats.org/officeDocument/2006/relationships/worksheet" Target="/xl/worksheets/sheet1.xml" Id="R08131f4a47f14bae" /><Relationship Type="http://schemas.openxmlformats.org/officeDocument/2006/relationships/worksheet" Target="/xl/worksheets/sheet2.xml" Id="R5fb6c8ef4f0647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6da583856148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Amount paid vs Invoice amount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Invoice amount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Amount paid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6da583856148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8" displayName="ProjectTable08" ref="A1:H13" headerRowCount="1" totalsRowCount="0" totalsRowShown="0">
  <x:tableColumns count="8">
    <x:tableColumn id="1" name="Date"/>
    <x:tableColumn id="2" name="Client"/>
    <x:tableColumn id="3" name="Category"/>
    <x:tableColumn id="4" name="Invoice amount"/>
    <x:tableColumn id="5" name="Amount paid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f182f18e2c4e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09c02dc88e43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Invoice Register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Invoice amount total</x:v>
      </x:c>
      <x:c r="B5" s="13"/>
      <x:c r="C5" s="13" t="str">
        <x:v>Amount paid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265800</x:v>
      </x:c>
      <x:c r="B6" s="35"/>
      <x:c r="C6" s="35" t="n">
        <x:f>SUM('Data'!E2:E13)</x:f>
        <x:v>247087</x:v>
      </x:c>
      <x:c r="D6" s="35"/>
      <x:c r="E6" s="38" t="n">
        <x:f>IFERROR(C6/A6,0)</x:f>
        <x:v>0.9295974416854778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Invoice amount</x:v>
      </x:c>
      <x:c r="C10" s="42" t="str">
        <x:v>Amount paid</x:v>
      </x:c>
    </x:row>
    <x:row r="11" ht="22" customHeight="1">
      <x:c r="A11" s="43" t="str">
        <x:v>Website</x:v>
      </x:c>
      <x:c r="B11" s="44" t="n">
        <x:f>SUMIF('Data'!$C$2:$C$13,A11,'Data'!$D$2:$D$13)</x:f>
        <x:v>85000</x:v>
      </x:c>
      <x:c r="C11" s="44" t="n">
        <x:f>SUMIF('Data'!$C$2:$C$13,A11,'Data'!$E$2:$E$13)</x:f>
        <x:v>77185</x:v>
      </x:c>
    </x:row>
    <x:row r="12" ht="22" customHeight="1">
      <x:c r="A12" s="43" t="str">
        <x:v>Design</x:v>
      </x:c>
      <x:c r="B12" s="44" t="n">
        <x:f>SUMIF('Data'!$C$2:$C$13,A12,'Data'!$D$2:$D$13)</x:f>
        <x:v>88600</x:v>
      </x:c>
      <x:c r="C12" s="44" t="n">
        <x:f>SUMIF('Data'!$C$2:$C$13,A12,'Data'!$E$2:$E$13)</x:f>
        <x:v>80086</x:v>
      </x:c>
    </x:row>
    <x:row r="13" ht="22" customHeight="1">
      <x:c r="A13" s="43" t="str">
        <x:v>Support</x:v>
      </x:c>
      <x:c r="B13" s="44" t="n">
        <x:f>SUMIF('Data'!$C$2:$C$13,A13,'Data'!$D$2:$D$13)</x:f>
        <x:v>92200</x:v>
      </x:c>
      <x:c r="C13" s="44" t="n">
        <x:f>SUMIF('Data'!$C$2:$C$13,A13,'Data'!$E$2:$E$13)</x:f>
        <x:v>89816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edf182f18e2c4ec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4.670000076293945" hidden="0" customWidth="1"/>
    <x:col min="5" max="5" width="12.670000076293945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Client</x:v>
      </x:c>
      <x:c r="C1" s="2" t="str">
        <x:v>Category</x:v>
      </x:c>
      <x:c r="D1" s="2" t="str">
        <x:v>Invoice amount</x:v>
      </x:c>
      <x:c r="E1" s="2" t="str">
        <x:v>Amount paid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Client 01</x:v>
      </x:c>
      <x:c r="C2" t="str">
        <x:v>Website</x:v>
      </x:c>
      <x:c r="D2" s="4" t="n">
        <x:v>17200</x:v>
      </x:c>
      <x:c r="E2" s="4" t="n">
        <x:v>15480</x:v>
      </x:c>
      <x:c r="F2" s="4" t="n">
        <x:f>E2-D2</x:f>
        <x:v>-1720</x:v>
      </x:c>
      <x:c r="G2" s="5" t="n">
        <x:f>IFERROR(E2/D2,0)</x:f>
        <x:v>0.9</x:v>
      </x:c>
      <x:c r="H2" t="str">
        <x:f>IF(E2&gt;=D2,"Met","Missed")</x:f>
        <x:v>Missed</x:v>
      </x:c>
    </x:row>
    <x:row r="3">
      <x:c r="A3" s="3" t="n">
        <x:v>46054</x:v>
      </x:c>
      <x:c r="B3" t="str">
        <x:v>Client 02</x:v>
      </x:c>
      <x:c r="C3" t="str">
        <x:v>Design</x:v>
      </x:c>
      <x:c r="D3" s="4" t="n">
        <x:v>18100</x:v>
      </x:c>
      <x:c r="E3" s="4" t="n">
        <x:v>17557</x:v>
      </x:c>
      <x:c r="F3" s="4" t="n">
        <x:f>E3-D3</x:f>
        <x:v>-543</x:v>
      </x:c>
      <x:c r="G3" s="5" t="n">
        <x:f>IFERROR(E3/D3,0)</x:f>
        <x:v>0.97</x:v>
      </x:c>
      <x:c r="H3" t="str">
        <x:f>IF(E3&gt;=D3,"Met","Missed")</x:f>
        <x:v>Missed</x:v>
      </x:c>
    </x:row>
    <x:row r="4">
      <x:c r="A4" s="3" t="n">
        <x:v>46082</x:v>
      </x:c>
      <x:c r="B4" t="str">
        <x:v>Client 03</x:v>
      </x:c>
      <x:c r="C4" t="str">
        <x:v>Support</x:v>
      </x:c>
      <x:c r="D4" s="4" t="n">
        <x:v>19000</x:v>
      </x:c>
      <x:c r="E4" s="4" t="n">
        <x:v>19760</x:v>
      </x:c>
      <x:c r="F4" s="4" t="n">
        <x:f>E4-D4</x:f>
        <x:v>760</x:v>
      </x:c>
      <x:c r="G4" s="5" t="n">
        <x:f>IFERROR(E4/D4,0)</x:f>
        <x:v>1.04</x:v>
      </x:c>
      <x:c r="H4" t="str">
        <x:f>IF(E4&gt;=D4,"Met","Missed")</x:f>
        <x:v>Met</x:v>
      </x:c>
    </x:row>
    <x:row r="5">
      <x:c r="A5" s="3" t="n">
        <x:v>46113</x:v>
      </x:c>
      <x:c r="B5" t="str">
        <x:v>Client 04</x:v>
      </x:c>
      <x:c r="C5" t="str">
        <x:v>Website</x:v>
      </x:c>
      <x:c r="D5" s="4" t="n">
        <x:v>19900</x:v>
      </x:c>
      <x:c r="E5" s="4" t="n">
        <x:v>17114</x:v>
      </x:c>
      <x:c r="F5" s="4" t="n">
        <x:f>E5-D5</x:f>
        <x:v>-2786</x:v>
      </x:c>
      <x:c r="G5" s="5" t="n">
        <x:f>IFERROR(E5/D5,0)</x:f>
        <x:v>0.86</x:v>
      </x:c>
      <x:c r="H5" t="str">
        <x:f>IF(E5&gt;=D5,"Met","Missed")</x:f>
        <x:v>Missed</x:v>
      </x:c>
    </x:row>
    <x:row r="6">
      <x:c r="A6" s="3" t="n">
        <x:v>46143</x:v>
      </x:c>
      <x:c r="B6" t="str">
        <x:v>Client 05</x:v>
      </x:c>
      <x:c r="C6" t="str">
        <x:v>Design</x:v>
      </x:c>
      <x:c r="D6" s="4" t="n">
        <x:v>20800</x:v>
      </x:c>
      <x:c r="E6" s="4" t="n">
        <x:v>19344</x:v>
      </x:c>
      <x:c r="F6" s="4" t="n">
        <x:f>E6-D6</x:f>
        <x:v>-1456</x:v>
      </x:c>
      <x:c r="G6" s="5" t="n">
        <x:f>IFERROR(E6/D6,0)</x:f>
        <x:v>0.93</x:v>
      </x:c>
      <x:c r="H6" t="str">
        <x:f>IF(E6&gt;=D6,"Met","Missed")</x:f>
        <x:v>Missed</x:v>
      </x:c>
    </x:row>
    <x:row r="7">
      <x:c r="A7" s="3" t="n">
        <x:v>46174</x:v>
      </x:c>
      <x:c r="B7" t="str">
        <x:v>Client 06</x:v>
      </x:c>
      <x:c r="C7" t="str">
        <x:v>Support</x:v>
      </x:c>
      <x:c r="D7" s="4" t="n">
        <x:v>21700</x:v>
      </x:c>
      <x:c r="E7" s="4" t="n">
        <x:v>21700</x:v>
      </x:c>
      <x:c r="F7" s="4" t="n">
        <x:f>E7-D7</x:f>
        <x:v>0</x:v>
      </x:c>
      <x:c r="G7" s="5" t="n">
        <x:f>IFERROR(E7/D7,0)</x:f>
        <x:v>1</x:v>
      </x:c>
      <x:c r="H7" t="str">
        <x:f>IF(E7&gt;=D7,"Met","Missed")</x:f>
        <x:v>Met</x:v>
      </x:c>
    </x:row>
    <x:row r="8">
      <x:c r="A8" s="3" t="n">
        <x:v>46204</x:v>
      </x:c>
      <x:c r="B8" t="str">
        <x:v>Client 07</x:v>
      </x:c>
      <x:c r="C8" t="str">
        <x:v>Website</x:v>
      </x:c>
      <x:c r="D8" s="4" t="n">
        <x:v>22600</x:v>
      </x:c>
      <x:c r="E8" s="4" t="n">
        <x:v>18532</x:v>
      </x:c>
      <x:c r="F8" s="4" t="n">
        <x:f>E8-D8</x:f>
        <x:v>-4068</x:v>
      </x:c>
      <x:c r="G8" s="5" t="n">
        <x:f>IFERROR(E8/D8,0)</x:f>
        <x:v>0.82</x:v>
      </x:c>
      <x:c r="H8" t="str">
        <x:f>IF(E8&gt;=D8,"Met","Missed")</x:f>
        <x:v>Missed</x:v>
      </x:c>
    </x:row>
    <x:row r="9">
      <x:c r="A9" s="3" t="n">
        <x:v>46235</x:v>
      </x:c>
      <x:c r="B9" t="str">
        <x:v>Client 08</x:v>
      </x:c>
      <x:c r="C9" t="str">
        <x:v>Design</x:v>
      </x:c>
      <x:c r="D9" s="4" t="n">
        <x:v>23500</x:v>
      </x:c>
      <x:c r="E9" s="4" t="n">
        <x:v>20915</x:v>
      </x:c>
      <x:c r="F9" s="4" t="n">
        <x:f>E9-D9</x:f>
        <x:v>-2585</x:v>
      </x:c>
      <x:c r="G9" s="5" t="n">
        <x:f>IFERROR(E9/D9,0)</x:f>
        <x:v>0.89</x:v>
      </x:c>
      <x:c r="H9" t="str">
        <x:f>IF(E9&gt;=D9,"Met","Missed")</x:f>
        <x:v>Missed</x:v>
      </x:c>
    </x:row>
    <x:row r="10">
      <x:c r="A10" s="3" t="n">
        <x:v>46266</x:v>
      </x:c>
      <x:c r="B10" t="str">
        <x:v>Client 09</x:v>
      </x:c>
      <x:c r="C10" t="str">
        <x:v>Support</x:v>
      </x:c>
      <x:c r="D10" s="4" t="n">
        <x:v>24400</x:v>
      </x:c>
      <x:c r="E10" s="4" t="n">
        <x:v>23424</x:v>
      </x:c>
      <x:c r="F10" s="4" t="n">
        <x:f>E10-D10</x:f>
        <x:v>-976</x:v>
      </x:c>
      <x:c r="G10" s="5" t="n">
        <x:f>IFERROR(E10/D10,0)</x:f>
        <x:v>0.96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Client 10</x:v>
      </x:c>
      <x:c r="C11" t="str">
        <x:v>Website</x:v>
      </x:c>
      <x:c r="D11" s="4" t="n">
        <x:v>25300</x:v>
      </x:c>
      <x:c r="E11" s="4" t="n">
        <x:v>26059</x:v>
      </x:c>
      <x:c r="F11" s="4" t="n">
        <x:f>E11-D11</x:f>
        <x:v>759</x:v>
      </x:c>
      <x:c r="G11" s="5" t="n">
        <x:f>IFERROR(E11/D11,0)</x:f>
        <x:v>1.03</x:v>
      </x:c>
      <x:c r="H11" t="str">
        <x:f>IF(E11&gt;=D11,"Met","Missed")</x:f>
        <x:v>Met</x:v>
      </x:c>
    </x:row>
    <x:row r="12">
      <x:c r="A12" s="3" t="n">
        <x:v>46327</x:v>
      </x:c>
      <x:c r="B12" t="str">
        <x:v>Client 11</x:v>
      </x:c>
      <x:c r="C12" t="str">
        <x:v>Design</x:v>
      </x:c>
      <x:c r="D12" s="4" t="n">
        <x:v>26200</x:v>
      </x:c>
      <x:c r="E12" s="4" t="n">
        <x:v>22270</x:v>
      </x:c>
      <x:c r="F12" s="4" t="n">
        <x:f>E12-D12</x:f>
        <x:v>-3930</x:v>
      </x:c>
      <x:c r="G12" s="5" t="n">
        <x:f>IFERROR(E12/D12,0)</x:f>
        <x:v>0.85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Client 12</x:v>
      </x:c>
      <x:c r="C13" t="str">
        <x:v>Support</x:v>
      </x:c>
      <x:c r="D13" s="4" t="n">
        <x:v>27100</x:v>
      </x:c>
      <x:c r="E13" s="4" t="n">
        <x:v>24932</x:v>
      </x:c>
      <x:c r="F13" s="4" t="n">
        <x:f>E13-D13</x:f>
        <x:v>-2168</x:v>
      </x:c>
      <x:c r="G13" s="5" t="n">
        <x:f>IFERROR(E13/D13,0)</x:f>
        <x:v>0.92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3409c02dc88e433b"/>
  </x:tableParts>
</x:worksheet>
</file>