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2954b99ee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d46f9bda5194ef9"/>
    <x:sheet xmlns:r="http://schemas.openxmlformats.org/officeDocument/2006/relationships" name="Data" sheetId="2" r:id="R4385fa6a52c2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eaf9beef345c3" /><Relationship Type="http://schemas.openxmlformats.org/officeDocument/2006/relationships/theme" Target="/xl/theme/theme1.xml" Id="Rf6d33c34c7a54c27" /><Relationship Type="http://schemas.openxmlformats.org/officeDocument/2006/relationships/sharedStrings" Target="/xl/sharedStrings.xml" Id="R36c05f247e0e40cb" /><Relationship Type="http://schemas.openxmlformats.org/officeDocument/2006/relationships/worksheet" Target="/xl/worksheets/sheet1.xml" Id="R1d46f9bda5194ef9" /><Relationship Type="http://schemas.openxmlformats.org/officeDocument/2006/relationships/worksheet" Target="/xl/worksheets/sheet2.xml" Id="R4385fa6a52c244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ba990857b04b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value vs Book value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Book value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Current value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ba990857b04b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20" displayName="ProjectTable20" ref="A1:H13" headerRowCount="1" totalsRowCount="0" totalsRowShown="0">
  <x:tableColumns count="8">
    <x:tableColumn id="1" name="Date"/>
    <x:tableColumn id="2" name="Asset class"/>
    <x:tableColumn id="3" name="Category"/>
    <x:tableColumn id="4" name="Book value"/>
    <x:tableColumn id="5" name="Current value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d13b8a2d8e4a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d0777d3fb541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Asset Register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Book value total</x:v>
      </x:c>
      <x:c r="B5" s="13"/>
      <x:c r="C5" s="13" t="str">
        <x:v>Current value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359400</x:v>
      </x:c>
      <x:c r="B6" s="35"/>
      <x:c r="C6" s="35" t="n">
        <x:f>SUM('Data'!E2:E13)</x:f>
        <x:v>340466</x:v>
      </x:c>
      <x:c r="D6" s="35"/>
      <x:c r="E6" s="38" t="n">
        <x:f>IFERROR(C6/A6,0)</x:f>
        <x:v>0.9473177518085698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Book value</x:v>
      </x:c>
      <x:c r="C10" s="42" t="str">
        <x:v>Current value</x:v>
      </x:c>
    </x:row>
    <x:row r="11" ht="22" customHeight="1">
      <x:c r="A11" s="43" t="str">
        <x:v>Devices</x:v>
      </x:c>
      <x:c r="B11" s="44" t="n">
        <x:f>SUMIF('Data'!$C$2:$C$13,A11,'Data'!$D$2:$D$13)</x:f>
        <x:v>116200</x:v>
      </x:c>
      <x:c r="C11" s="44" t="n">
        <x:f>SUMIF('Data'!$C$2:$C$13,A11,'Data'!$E$2:$E$13)</x:f>
        <x:v>111012</x:v>
      </x:c>
    </x:row>
    <x:row r="12" ht="22" customHeight="1">
      <x:c r="A12" s="43" t="str">
        <x:v>Furniture</x:v>
      </x:c>
      <x:c r="B12" s="44" t="n">
        <x:f>SUMIF('Data'!$C$2:$C$13,A12,'Data'!$D$2:$D$13)</x:f>
        <x:v>119800</x:v>
      </x:c>
      <x:c r="C12" s="44" t="n">
        <x:f>SUMIF('Data'!$C$2:$C$13,A12,'Data'!$E$2:$E$13)</x:f>
        <x:v>116379</x:v>
      </x:c>
    </x:row>
    <x:row r="13" ht="22" customHeight="1">
      <x:c r="A13" s="43" t="str">
        <x:v>Software</x:v>
      </x:c>
      <x:c r="B13" s="44" t="n">
        <x:f>SUMIF('Data'!$C$2:$C$13,A13,'Data'!$D$2:$D$13)</x:f>
        <x:v>123400</x:v>
      </x:c>
      <x:c r="C13" s="44" t="n">
        <x:f>SUMIF('Data'!$C$2:$C$13,A13,'Data'!$E$2:$E$13)</x:f>
        <x:v>113075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6cd13b8a2d8e4af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1.4399995803833" hidden="0" customWidth="1"/>
    <x:col min="5" max="5" width="13.220000267028809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Asset class</x:v>
      </x:c>
      <x:c r="C1" s="2" t="str">
        <x:v>Category</x:v>
      </x:c>
      <x:c r="D1" s="2" t="str">
        <x:v>Book value</x:v>
      </x:c>
      <x:c r="E1" s="2" t="str">
        <x:v>Current value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Asset class 01</x:v>
      </x:c>
      <x:c r="C2" t="str">
        <x:v>Devices</x:v>
      </x:c>
      <x:c r="D2" s="4" t="n">
        <x:v>25000</x:v>
      </x:c>
      <x:c r="E2" s="4" t="n">
        <x:v>25500</x:v>
      </x:c>
      <x:c r="F2" s="4" t="n">
        <x:f>E2-D2</x:f>
        <x:v>500</x:v>
      </x:c>
      <x:c r="G2" s="5" t="n">
        <x:f>IFERROR(E2/D2,0)</x:f>
        <x:v>1.02</x:v>
      </x:c>
      <x:c r="H2" t="str">
        <x:f>IF(E2&gt;=D2,"Met","Missed")</x:f>
        <x:v>Met</x:v>
      </x:c>
    </x:row>
    <x:row r="3">
      <x:c r="A3" s="3" t="n">
        <x:v>46054</x:v>
      </x:c>
      <x:c r="B3" t="str">
        <x:v>Asset class 02</x:v>
      </x:c>
      <x:c r="C3" t="str">
        <x:v>Furniture</x:v>
      </x:c>
      <x:c r="D3" s="4" t="n">
        <x:v>25900</x:v>
      </x:c>
      <x:c r="E3" s="4" t="n">
        <x:v>21756</x:v>
      </x:c>
      <x:c r="F3" s="4" t="n">
        <x:f>E3-D3</x:f>
        <x:v>-4144</x:v>
      </x:c>
      <x:c r="G3" s="5" t="n">
        <x:f>IFERROR(E3/D3,0)</x:f>
        <x:v>0.84</x:v>
      </x:c>
      <x:c r="H3" t="str">
        <x:f>IF(E3&gt;=D3,"Met","Missed")</x:f>
        <x:v>Missed</x:v>
      </x:c>
    </x:row>
    <x:row r="4">
      <x:c r="A4" s="3" t="n">
        <x:v>46082</x:v>
      </x:c>
      <x:c r="B4" t="str">
        <x:v>Asset class 03</x:v>
      </x:c>
      <x:c r="C4" t="str">
        <x:v>Software</x:v>
      </x:c>
      <x:c r="D4" s="4" t="n">
        <x:v>26800</x:v>
      </x:c>
      <x:c r="E4" s="4" t="n">
        <x:v>24388</x:v>
      </x:c>
      <x:c r="F4" s="4" t="n">
        <x:f>E4-D4</x:f>
        <x:v>-2412</x:v>
      </x:c>
      <x:c r="G4" s="5" t="n">
        <x:f>IFERROR(E4/D4,0)</x:f>
        <x:v>0.91</x:v>
      </x:c>
      <x:c r="H4" t="str">
        <x:f>IF(E4&gt;=D4,"Met","Missed")</x:f>
        <x:v>Missed</x:v>
      </x:c>
    </x:row>
    <x:row r="5">
      <x:c r="A5" s="3" t="n">
        <x:v>46113</x:v>
      </x:c>
      <x:c r="B5" t="str">
        <x:v>Asset class 04</x:v>
      </x:c>
      <x:c r="C5" t="str">
        <x:v>Devices</x:v>
      </x:c>
      <x:c r="D5" s="4" t="n">
        <x:v>27700</x:v>
      </x:c>
      <x:c r="E5" s="4" t="n">
        <x:v>27146</x:v>
      </x:c>
      <x:c r="F5" s="4" t="n">
        <x:f>E5-D5</x:f>
        <x:v>-554</x:v>
      </x:c>
      <x:c r="G5" s="5" t="n">
        <x:f>IFERROR(E5/D5,0)</x:f>
        <x:v>0.98</x:v>
      </x:c>
      <x:c r="H5" t="str">
        <x:f>IF(E5&gt;=D5,"Met","Missed")</x:f>
        <x:v>Missed</x:v>
      </x:c>
    </x:row>
    <x:row r="6">
      <x:c r="A6" s="3" t="n">
        <x:v>46143</x:v>
      </x:c>
      <x:c r="B6" t="str">
        <x:v>Asset class 05</x:v>
      </x:c>
      <x:c r="C6" t="str">
        <x:v>Furniture</x:v>
      </x:c>
      <x:c r="D6" s="4" t="n">
        <x:v>28600</x:v>
      </x:c>
      <x:c r="E6" s="4" t="n">
        <x:v>30030</x:v>
      </x:c>
      <x:c r="F6" s="4" t="n">
        <x:f>E6-D6</x:f>
        <x:v>1430</x:v>
      </x:c>
      <x:c r="G6" s="5" t="n">
        <x:f>IFERROR(E6/D6,0)</x:f>
        <x:v>1.05</x:v>
      </x:c>
      <x:c r="H6" t="str">
        <x:f>IF(E6&gt;=D6,"Met","Missed")</x:f>
        <x:v>Met</x:v>
      </x:c>
    </x:row>
    <x:row r="7">
      <x:c r="A7" s="3" t="n">
        <x:v>46174</x:v>
      </x:c>
      <x:c r="B7" t="str">
        <x:v>Asset class 06</x:v>
      </x:c>
      <x:c r="C7" t="str">
        <x:v>Software</x:v>
      </x:c>
      <x:c r="D7" s="4" t="n">
        <x:v>29500</x:v>
      </x:c>
      <x:c r="E7" s="4" t="n">
        <x:v>25665</x:v>
      </x:c>
      <x:c r="F7" s="4" t="n">
        <x:f>E7-D7</x:f>
        <x:v>-3835</x:v>
      </x:c>
      <x:c r="G7" s="5" t="n">
        <x:f>IFERROR(E7/D7,0)</x:f>
        <x:v>0.87</x:v>
      </x:c>
      <x:c r="H7" t="str">
        <x:f>IF(E7&gt;=D7,"Met","Missed")</x:f>
        <x:v>Missed</x:v>
      </x:c>
    </x:row>
    <x:row r="8">
      <x:c r="A8" s="3" t="n">
        <x:v>46204</x:v>
      </x:c>
      <x:c r="B8" t="str">
        <x:v>Asset class 07</x:v>
      </x:c>
      <x:c r="C8" t="str">
        <x:v>Devices</x:v>
      </x:c>
      <x:c r="D8" s="4" t="n">
        <x:v>30400</x:v>
      </x:c>
      <x:c r="E8" s="4" t="n">
        <x:v>28576</x:v>
      </x:c>
      <x:c r="F8" s="4" t="n">
        <x:f>E8-D8</x:f>
        <x:v>-1824</x:v>
      </x:c>
      <x:c r="G8" s="5" t="n">
        <x:f>IFERROR(E8/D8,0)</x:f>
        <x:v>0.94</x:v>
      </x:c>
      <x:c r="H8" t="str">
        <x:f>IF(E8&gt;=D8,"Met","Missed")</x:f>
        <x:v>Missed</x:v>
      </x:c>
    </x:row>
    <x:row r="9">
      <x:c r="A9" s="3" t="n">
        <x:v>46235</x:v>
      </x:c>
      <x:c r="B9" t="str">
        <x:v>Asset class 08</x:v>
      </x:c>
      <x:c r="C9" t="str">
        <x:v>Furniture</x:v>
      </x:c>
      <x:c r="D9" s="4" t="n">
        <x:v>31300</x:v>
      </x:c>
      <x:c r="E9" s="4" t="n">
        <x:v>31613</x:v>
      </x:c>
      <x:c r="F9" s="4" t="n">
        <x:f>E9-D9</x:f>
        <x:v>313</x:v>
      </x:c>
      <x:c r="G9" s="5" t="n">
        <x:f>IFERROR(E9/D9,0)</x:f>
        <x:v>1.01</x:v>
      </x:c>
      <x:c r="H9" t="str">
        <x:f>IF(E9&gt;=D9,"Met","Missed")</x:f>
        <x:v>Met</x:v>
      </x:c>
    </x:row>
    <x:row r="10">
      <x:c r="A10" s="3" t="n">
        <x:v>46266</x:v>
      </x:c>
      <x:c r="B10" t="str">
        <x:v>Asset class 09</x:v>
      </x:c>
      <x:c r="C10" t="str">
        <x:v>Software</x:v>
      </x:c>
      <x:c r="D10" s="4" t="n">
        <x:v>32200</x:v>
      </x:c>
      <x:c r="E10" s="4" t="n">
        <x:v>26726</x:v>
      </x:c>
      <x:c r="F10" s="4" t="n">
        <x:f>E10-D10</x:f>
        <x:v>-5474</x:v>
      </x:c>
      <x:c r="G10" s="5" t="n">
        <x:f>IFERROR(E10/D10,0)</x:f>
        <x:v>0.83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Asset class 10</x:v>
      </x:c>
      <x:c r="C11" t="str">
        <x:v>Devices</x:v>
      </x:c>
      <x:c r="D11" s="4" t="n">
        <x:v>33100</x:v>
      </x:c>
      <x:c r="E11" s="4" t="n">
        <x:v>29790</x:v>
      </x:c>
      <x:c r="F11" s="4" t="n">
        <x:f>E11-D11</x:f>
        <x:v>-3310</x:v>
      </x:c>
      <x:c r="G11" s="5" t="n">
        <x:f>IFERROR(E11/D11,0)</x:f>
        <x:v>0.9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Asset class 11</x:v>
      </x:c>
      <x:c r="C12" t="str">
        <x:v>Furniture</x:v>
      </x:c>
      <x:c r="D12" s="4" t="n">
        <x:v>34000</x:v>
      </x:c>
      <x:c r="E12" s="4" t="n">
        <x:v>32980</x:v>
      </x:c>
      <x:c r="F12" s="4" t="n">
        <x:f>E12-D12</x:f>
        <x:v>-1020</x:v>
      </x:c>
      <x:c r="G12" s="5" t="n">
        <x:f>IFERROR(E12/D12,0)</x:f>
        <x:v>0.97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Asset class 12</x:v>
      </x:c>
      <x:c r="C13" t="str">
        <x:v>Software</x:v>
      </x:c>
      <x:c r="D13" s="4" t="n">
        <x:v>34900</x:v>
      </x:c>
      <x:c r="E13" s="4" t="n">
        <x:v>36296</x:v>
      </x:c>
      <x:c r="F13" s="4" t="n">
        <x:f>E13-D13</x:f>
        <x:v>1396</x:v>
      </x:c>
      <x:c r="G13" s="5" t="n">
        <x:f>IFERROR(E13/D13,0)</x:f>
        <x:v>1.04</x:v>
      </x:c>
      <x:c r="H13" t="str">
        <x:f>IF(E13&gt;=D13,"Met","Missed")</x:f>
        <x:v>Met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add0777d3fb541b6"/>
  </x:tableParts>
</x:worksheet>
</file>