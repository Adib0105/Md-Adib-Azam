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0f101e71d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2353f4902a24ed1"/>
    <x:sheet xmlns:r="http://schemas.openxmlformats.org/officeDocument/2006/relationships" name="Data" sheetId="2" r:id="Ra70d34a8f4c5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f30e358d74c40" /><Relationship Type="http://schemas.openxmlformats.org/officeDocument/2006/relationships/theme" Target="/xl/theme/theme1.xml" Id="R67bb22a0a42e4b76" /><Relationship Type="http://schemas.openxmlformats.org/officeDocument/2006/relationships/sharedStrings" Target="/xl/sharedStrings.xml" Id="R1a61b052bfaf44c9" /><Relationship Type="http://schemas.openxmlformats.org/officeDocument/2006/relationships/worksheet" Target="/xl/worksheets/sheet1.xml" Id="R02353f4902a24ed1" /><Relationship Type="http://schemas.openxmlformats.org/officeDocument/2006/relationships/worksheet" Target="/xl/worksheets/sheet2.xml" Id="Ra70d34a8f4c547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da0d82c62545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spend vs Budget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Budget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Actual spend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da0d82c62545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3" displayName="ProjectTable03" ref="A1:H13" headerRowCount="1" totalsRowCount="0" totalsRowShown="0">
  <x:tableColumns count="8">
    <x:tableColumn id="1" name="Date"/>
    <x:tableColumn id="2" name="Expense category"/>
    <x:tableColumn id="3" name="Category"/>
    <x:tableColumn id="4" name="Budget"/>
    <x:tableColumn id="5" name="Actual spend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8e18a25ceb4a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985b45f85843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Expense Budget Workbook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Budget total</x:v>
      </x:c>
      <x:c r="B5" s="13"/>
      <x:c r="C5" s="13" t="str">
        <x:v>Actual spend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226800</x:v>
      </x:c>
      <x:c r="B6" s="35"/>
      <x:c r="C6" s="35" t="n">
        <x:f>SUM('Data'!E2:E13)</x:f>
        <x:v>214182</x:v>
      </x:c>
      <x:c r="D6" s="35"/>
      <x:c r="E6" s="38" t="n">
        <x:f>IFERROR(C6/A6,0)</x:f>
        <x:v>0.9443650793650794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Budget</x:v>
      </x:c>
      <x:c r="C10" s="42" t="str">
        <x:v>Actual spend</x:v>
      </x:c>
    </x:row>
    <x:row r="11" ht="22" customHeight="1">
      <x:c r="A11" s="43" t="str">
        <x:v>Fixed</x:v>
      </x:c>
      <x:c r="B11" s="44" t="n">
        <x:f>SUMIF('Data'!$C$2:$C$13,A11,'Data'!$D$2:$D$13)</x:f>
        <x:v>72000</x:v>
      </x:c>
      <x:c r="C11" s="44" t="n">
        <x:f>SUMIF('Data'!$C$2:$C$13,A11,'Data'!$E$2:$E$13)</x:f>
        <x:v>70852.5</x:v>
      </x:c>
    </x:row>
    <x:row r="12" ht="22" customHeight="1">
      <x:c r="A12" s="43" t="str">
        <x:v>Variable</x:v>
      </x:c>
      <x:c r="B12" s="44" t="n">
        <x:f>SUMIF('Data'!$C$2:$C$13,A12,'Data'!$D$2:$D$13)</x:f>
        <x:v>75600</x:v>
      </x:c>
      <x:c r="C12" s="44" t="n">
        <x:f>SUMIF('Data'!$C$2:$C$13,A12,'Data'!$E$2:$E$13)</x:f>
        <x:v>70213.5</x:v>
      </x:c>
    </x:row>
    <x:row r="13" ht="22" customHeight="1">
      <x:c r="A13" s="43" t="str">
        <x:v>Learning</x:v>
      </x:c>
      <x:c r="B13" s="44" t="n">
        <x:f>SUMIF('Data'!$C$2:$C$13,A13,'Data'!$D$2:$D$13)</x:f>
        <x:v>79200</x:v>
      </x:c>
      <x:c r="C13" s="44" t="n">
        <x:f>SUMIF('Data'!$C$2:$C$13,A13,'Data'!$E$2:$E$13)</x:f>
        <x:v>73116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b58e18a25ceb4a8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8.329999923706055" hidden="0" customWidth="1"/>
    <x:col min="5" max="5" width="13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Expense category</x:v>
      </x:c>
      <x:c r="C1" s="2" t="str">
        <x:v>Category</x:v>
      </x:c>
      <x:c r="D1" s="2" t="str">
        <x:v>Budget</x:v>
      </x:c>
      <x:c r="E1" s="2" t="str">
        <x:v>Actual spend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Expense category 01</x:v>
      </x:c>
      <x:c r="C2" t="str">
        <x:v>Fixed</x:v>
      </x:c>
      <x:c r="D2" s="4" t="n">
        <x:v>13950</x:v>
      </x:c>
      <x:c r="E2" s="4" t="n">
        <x:v>11857.5</x:v>
      </x:c>
      <x:c r="F2" s="4" t="n">
        <x:f>E2-D2</x:f>
        <x:v>-2092.5</x:v>
      </x:c>
      <x:c r="G2" s="5" t="n">
        <x:f>IFERROR(E2/D2,0)</x:f>
        <x:v>0.85</x:v>
      </x:c>
      <x:c r="H2" t="str">
        <x:f>IF(E2&lt;=D2,"Met","Missed")</x:f>
        <x:v>Met</x:v>
      </x:c>
    </x:row>
    <x:row r="3">
      <x:c r="A3" s="3" t="n">
        <x:v>46054</x:v>
      </x:c>
      <x:c r="B3" t="str">
        <x:v>Expense category 02</x:v>
      </x:c>
      <x:c r="C3" t="str">
        <x:v>Variable</x:v>
      </x:c>
      <x:c r="D3" s="4" t="n">
        <x:v>14850</x:v>
      </x:c>
      <x:c r="E3" s="4" t="n">
        <x:v>13662</x:v>
      </x:c>
      <x:c r="F3" s="4" t="n">
        <x:f>E3-D3</x:f>
        <x:v>-1188</x:v>
      </x:c>
      <x:c r="G3" s="5" t="n">
        <x:f>IFERROR(E3/D3,0)</x:f>
        <x:v>0.92</x:v>
      </x:c>
      <x:c r="H3" t="str">
        <x:f>IF(E3&lt;=D3,"Met","Missed")</x:f>
        <x:v>Met</x:v>
      </x:c>
    </x:row>
    <x:row r="4">
      <x:c r="A4" s="3" t="n">
        <x:v>46082</x:v>
      </x:c>
      <x:c r="B4" t="str">
        <x:v>Expense category 03</x:v>
      </x:c>
      <x:c r="C4" t="str">
        <x:v>Learning</x:v>
      </x:c>
      <x:c r="D4" s="4" t="n">
        <x:v>15750</x:v>
      </x:c>
      <x:c r="E4" s="4" t="n">
        <x:v>15592.5</x:v>
      </x:c>
      <x:c r="F4" s="4" t="n">
        <x:f>E4-D4</x:f>
        <x:v>-157.5</x:v>
      </x:c>
      <x:c r="G4" s="5" t="n">
        <x:f>IFERROR(E4/D4,0)</x:f>
        <x:v>0.99</x:v>
      </x:c>
      <x:c r="H4" t="str">
        <x:f>IF(E4&lt;=D4,"Met","Missed")</x:f>
        <x:v>Met</x:v>
      </x:c>
    </x:row>
    <x:row r="5">
      <x:c r="A5" s="3" t="n">
        <x:v>46113</x:v>
      </x:c>
      <x:c r="B5" t="str">
        <x:v>Expense category 04</x:v>
      </x:c>
      <x:c r="C5" t="str">
        <x:v>Fixed</x:v>
      </x:c>
      <x:c r="D5" s="4" t="n">
        <x:v>16650</x:v>
      </x:c>
      <x:c r="E5" s="4" t="n">
        <x:v>17649</x:v>
      </x:c>
      <x:c r="F5" s="4" t="n">
        <x:f>E5-D5</x:f>
        <x:v>999</x:v>
      </x:c>
      <x:c r="G5" s="5" t="n">
        <x:f>IFERROR(E5/D5,0)</x:f>
        <x:v>1.06</x:v>
      </x:c>
      <x:c r="H5" t="str">
        <x:f>IF(E5&lt;=D5,"Met","Missed")</x:f>
        <x:v>Missed</x:v>
      </x:c>
    </x:row>
    <x:row r="6">
      <x:c r="A6" s="3" t="n">
        <x:v>46143</x:v>
      </x:c>
      <x:c r="B6" t="str">
        <x:v>Expense category 05</x:v>
      </x:c>
      <x:c r="C6" t="str">
        <x:v>Variable</x:v>
      </x:c>
      <x:c r="D6" s="4" t="n">
        <x:v>17550</x:v>
      </x:c>
      <x:c r="E6" s="4" t="n">
        <x:v>15444</x:v>
      </x:c>
      <x:c r="F6" s="4" t="n">
        <x:f>E6-D6</x:f>
        <x:v>-2106</x:v>
      </x:c>
      <x:c r="G6" s="5" t="n">
        <x:f>IFERROR(E6/D6,0)</x:f>
        <x:v>0.88</x:v>
      </x:c>
      <x:c r="H6" t="str">
        <x:f>IF(E6&lt;=D6,"Met","Missed")</x:f>
        <x:v>Met</x:v>
      </x:c>
    </x:row>
    <x:row r="7">
      <x:c r="A7" s="3" t="n">
        <x:v>46174</x:v>
      </x:c>
      <x:c r="B7" t="str">
        <x:v>Expense category 06</x:v>
      </x:c>
      <x:c r="C7" t="str">
        <x:v>Learning</x:v>
      </x:c>
      <x:c r="D7" s="4" t="n">
        <x:v>18450</x:v>
      </x:c>
      <x:c r="E7" s="4" t="n">
        <x:v>17527.5</x:v>
      </x:c>
      <x:c r="F7" s="4" t="n">
        <x:f>E7-D7</x:f>
        <x:v>-922.5</x:v>
      </x:c>
      <x:c r="G7" s="5" t="n">
        <x:f>IFERROR(E7/D7,0)</x:f>
        <x:v>0.95</x:v>
      </x:c>
      <x:c r="H7" t="str">
        <x:f>IF(E7&lt;=D7,"Met","Missed")</x:f>
        <x:v>Met</x:v>
      </x:c>
    </x:row>
    <x:row r="8">
      <x:c r="A8" s="3" t="n">
        <x:v>46204</x:v>
      </x:c>
      <x:c r="B8" t="str">
        <x:v>Expense category 07</x:v>
      </x:c>
      <x:c r="C8" t="str">
        <x:v>Fixed</x:v>
      </x:c>
      <x:c r="D8" s="4" t="n">
        <x:v>19350</x:v>
      </x:c>
      <x:c r="E8" s="4" t="n">
        <x:v>19737</x:v>
      </x:c>
      <x:c r="F8" s="4" t="n">
        <x:f>E8-D8</x:f>
        <x:v>387</x:v>
      </x:c>
      <x:c r="G8" s="5" t="n">
        <x:f>IFERROR(E8/D8,0)</x:f>
        <x:v>1.02</x:v>
      </x:c>
      <x:c r="H8" t="str">
        <x:f>IF(E8&lt;=D8,"Met","Missed")</x:f>
        <x:v>Missed</x:v>
      </x:c>
    </x:row>
    <x:row r="9">
      <x:c r="A9" s="3" t="n">
        <x:v>46235</x:v>
      </x:c>
      <x:c r="B9" t="str">
        <x:v>Expense category 08</x:v>
      </x:c>
      <x:c r="C9" t="str">
        <x:v>Variable</x:v>
      </x:c>
      <x:c r="D9" s="4" t="n">
        <x:v>20250</x:v>
      </x:c>
      <x:c r="E9" s="4" t="n">
        <x:v>17010</x:v>
      </x:c>
      <x:c r="F9" s="4" t="n">
        <x:f>E9-D9</x:f>
        <x:v>-3240</x:v>
      </x:c>
      <x:c r="G9" s="5" t="n">
        <x:f>IFERROR(E9/D9,0)</x:f>
        <x:v>0.84</x:v>
      </x:c>
      <x:c r="H9" t="str">
        <x:f>IF(E9&lt;=D9,"Met","Missed")</x:f>
        <x:v>Met</x:v>
      </x:c>
    </x:row>
    <x:row r="10">
      <x:c r="A10" s="3" t="n">
        <x:v>46266</x:v>
      </x:c>
      <x:c r="B10" t="str">
        <x:v>Expense category 09</x:v>
      </x:c>
      <x:c r="C10" t="str">
        <x:v>Learning</x:v>
      </x:c>
      <x:c r="D10" s="4" t="n">
        <x:v>21150</x:v>
      </x:c>
      <x:c r="E10" s="4" t="n">
        <x:v>19246.5</x:v>
      </x:c>
      <x:c r="F10" s="4" t="n">
        <x:f>E10-D10</x:f>
        <x:v>-1903.5</x:v>
      </x:c>
      <x:c r="G10" s="5" t="n">
        <x:f>IFERROR(E10/D10,0)</x:f>
        <x:v>0.91</x:v>
      </x:c>
      <x:c r="H10" t="str">
        <x:f>IF(E10&lt;=D10,"Met","Missed")</x:f>
        <x:v>Met</x:v>
      </x:c>
    </x:row>
    <x:row r="11">
      <x:c r="A11" s="3" t="n">
        <x:v>46296</x:v>
      </x:c>
      <x:c r="B11" t="str">
        <x:v>Expense category 10</x:v>
      </x:c>
      <x:c r="C11" t="str">
        <x:v>Fixed</x:v>
      </x:c>
      <x:c r="D11" s="4" t="n">
        <x:v>22050</x:v>
      </x:c>
      <x:c r="E11" s="4" t="n">
        <x:v>21609</x:v>
      </x:c>
      <x:c r="F11" s="4" t="n">
        <x:f>E11-D11</x:f>
        <x:v>-441</x:v>
      </x:c>
      <x:c r="G11" s="5" t="n">
        <x:f>IFERROR(E11/D11,0)</x:f>
        <x:v>0.98</x:v>
      </x:c>
      <x:c r="H11" t="str">
        <x:f>IF(E11&lt;=D11,"Met","Missed")</x:f>
        <x:v>Met</x:v>
      </x:c>
    </x:row>
    <x:row r="12">
      <x:c r="A12" s="3" t="n">
        <x:v>46327</x:v>
      </x:c>
      <x:c r="B12" t="str">
        <x:v>Expense category 11</x:v>
      </x:c>
      <x:c r="C12" t="str">
        <x:v>Variable</x:v>
      </x:c>
      <x:c r="D12" s="4" t="n">
        <x:v>22950</x:v>
      </x:c>
      <x:c r="E12" s="4" t="n">
        <x:v>24097.5</x:v>
      </x:c>
      <x:c r="F12" s="4" t="n">
        <x:f>E12-D12</x:f>
        <x:v>1147.5</x:v>
      </x:c>
      <x:c r="G12" s="5" t="n">
        <x:f>IFERROR(E12/D12,0)</x:f>
        <x:v>1.05</x:v>
      </x:c>
      <x:c r="H12" t="str">
        <x:f>IF(E12&lt;=D12,"Met","Missed")</x:f>
        <x:v>Missed</x:v>
      </x:c>
    </x:row>
    <x:row r="13">
      <x:c r="A13" s="3" t="n">
        <x:v>46357</x:v>
      </x:c>
      <x:c r="B13" t="str">
        <x:v>Expense category 12</x:v>
      </x:c>
      <x:c r="C13" t="str">
        <x:v>Learning</x:v>
      </x:c>
      <x:c r="D13" s="4" t="n">
        <x:v>23850</x:v>
      </x:c>
      <x:c r="E13" s="4" t="n">
        <x:v>20749.5</x:v>
      </x:c>
      <x:c r="F13" s="4" t="n">
        <x:f>E13-D13</x:f>
        <x:v>-3100.5</x:v>
      </x:c>
      <x:c r="G13" s="5" t="n">
        <x:f>IFERROR(E13/D13,0)</x:f>
        <x:v>0.87</x:v>
      </x:c>
      <x:c r="H13" t="str">
        <x:f>IF(E13&lt;=D13,"Met","Missed")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f0985b45f8584334"/>
  </x:tableParts>
</x:worksheet>
</file>