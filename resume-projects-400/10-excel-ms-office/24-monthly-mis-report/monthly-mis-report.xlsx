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40672e2f0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daa216b3bb4b18"/>
    <x:sheet xmlns:r="http://schemas.openxmlformats.org/officeDocument/2006/relationships" name="Data" sheetId="2" r:id="Rbe42f25cc4e24d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fac9698eb4769" /><Relationship Type="http://schemas.openxmlformats.org/officeDocument/2006/relationships/theme" Target="/xl/theme/theme1.xml" Id="R875537e4f8ec4500" /><Relationship Type="http://schemas.openxmlformats.org/officeDocument/2006/relationships/sharedStrings" Target="/xl/sharedStrings.xml" Id="R7fc3b8022e4b4c72" /><Relationship Type="http://schemas.openxmlformats.org/officeDocument/2006/relationships/worksheet" Target="/xl/worksheets/sheet1.xml" Id="R57daa216b3bb4b18" /><Relationship Type="http://schemas.openxmlformats.org/officeDocument/2006/relationships/worksheet" Target="/xl/worksheets/sheet2.xml" Id="Rbe42f25cc4e24d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81dceaf09f4e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result vs Monthly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Monthly 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Actual result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1dceaf09f4e3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4" displayName="ProjectTable24" ref="A1:H13" headerRowCount="1" totalsRowCount="0" totalsRowShown="0">
  <x:tableColumns count="8">
    <x:tableColumn id="1" name="Date"/>
    <x:tableColumn id="2" name="Department"/>
    <x:tableColumn id="3" name="Category"/>
    <x:tableColumn id="4" name="Monthly target"/>
    <x:tableColumn id="5" name="Actual result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466e24ad3643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270fb550b347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Monthly MIS Report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Monthly target total</x:v>
      </x:c>
      <x:c r="B5" s="13"/>
      <x:c r="C5" s="13" t="str">
        <x:v>Actual result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726</x:v>
      </x:c>
      <x:c r="B6" s="35"/>
      <x:c r="C6" s="35" t="n">
        <x:f>SUM('Data'!E2:E13)</x:f>
        <x:v>683.8499999999999</x:v>
      </x:c>
      <x:c r="D6" s="35"/>
      <x:c r="E6" s="38" t="n">
        <x:f>IFERROR(C6/A6,0)</x:f>
        <x:v>0.9419421487603304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Monthly target</x:v>
      </x:c>
      <x:c r="C10" s="42" t="str">
        <x:v>Actual result</x:v>
      </x:c>
    </x:row>
    <x:row r="11" ht="22" customHeight="1">
      <x:c r="A11" s="43" t="str">
        <x:v>Support</x:v>
      </x:c>
      <x:c r="B11" s="44" t="n">
        <x:f>SUMIF('Data'!$C$2:$C$13,A11,'Data'!$D$2:$D$13)</x:f>
        <x:v>230</x:v>
      </x:c>
      <x:c r="C11" s="44" t="n">
        <x:f>SUMIF('Data'!$C$2:$C$13,A11,'Data'!$E$2:$E$13)</x:f>
        <x:v>228.2</x:v>
      </x:c>
    </x:row>
    <x:row r="12" ht="22" customHeight="1">
      <x:c r="A12" s="43" t="str">
        <x:v>Operations</x:v>
      </x:c>
      <x:c r="B12" s="44" t="n">
        <x:f>SUMIF('Data'!$C$2:$C$13,A12,'Data'!$D$2:$D$13)</x:f>
        <x:v>242</x:v>
      </x:c>
      <x:c r="C12" s="44" t="n">
        <x:f>SUMIF('Data'!$C$2:$C$13,A12,'Data'!$E$2:$E$13)</x:f>
        <x:v>231.39</x:v>
      </x:c>
    </x:row>
    <x:row r="13" ht="22" customHeight="1">
      <x:c r="A13" s="43" t="str">
        <x:v>Sales</x:v>
      </x:c>
      <x:c r="B13" s="44" t="n">
        <x:f>SUMIF('Data'!$C$2:$C$13,A13,'Data'!$D$2:$D$13)</x:f>
        <x:v>254</x:v>
      </x:c>
      <x:c r="C13" s="44" t="n">
        <x:f>SUMIF('Data'!$C$2:$C$13,A13,'Data'!$E$2:$E$13)</x:f>
        <x:v>224.26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db466e24ad3643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3.890000343322754" hidden="0" customWidth="1"/>
    <x:col min="5" max="5" width="12.5600004196167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Department</x:v>
      </x:c>
      <x:c r="C1" s="2" t="str">
        <x:v>Category</x:v>
      </x:c>
      <x:c r="D1" s="2" t="str">
        <x:v>Monthly target</x:v>
      </x:c>
      <x:c r="E1" s="2" t="str">
        <x:v>Actual result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Department 01</x:v>
      </x:c>
      <x:c r="C2" t="str">
        <x:v>Support</x:v>
      </x:c>
      <x:c r="D2" s="4" t="n">
        <x:v>44</x:v>
      </x:c>
      <x:c r="E2" s="4" t="n">
        <x:v>46.64</x:v>
      </x:c>
      <x:c r="F2" s="4" t="n">
        <x:f>E2-D2</x:f>
        <x:v>2.6400000000000006</x:v>
      </x:c>
      <x:c r="G2" s="5" t="n">
        <x:f>IFERROR(E2/D2,0)</x:f>
        <x:v>1.06</x:v>
      </x:c>
      <x:c r="H2" t="str">
        <x:f>IF(E2&gt;=D2,"Met","Missed")</x:f>
        <x:v>Met</x:v>
      </x:c>
    </x:row>
    <x:row r="3">
      <x:c r="A3" s="3" t="n">
        <x:v>46054</x:v>
      </x:c>
      <x:c r="B3" t="str">
        <x:v>Department 02</x:v>
      </x:c>
      <x:c r="C3" t="str">
        <x:v>Operations</x:v>
      </x:c>
      <x:c r="D3" s="4" t="n">
        <x:v>47</x:v>
      </x:c>
      <x:c r="E3" s="4" t="n">
        <x:v>41.36</x:v>
      </x:c>
      <x:c r="F3" s="4" t="n">
        <x:f>E3-D3</x:f>
        <x:v>-5.640000000000001</x:v>
      </x:c>
      <x:c r="G3" s="5" t="n">
        <x:f>IFERROR(E3/D3,0)</x:f>
        <x:v>0.88</x:v>
      </x:c>
      <x:c r="H3" t="str">
        <x:f>IF(E3&gt;=D3,"Met","Missed")</x:f>
        <x:v>Missed</x:v>
      </x:c>
    </x:row>
    <x:row r="4">
      <x:c r="A4" s="3" t="n">
        <x:v>46082</x:v>
      </x:c>
      <x:c r="B4" t="str">
        <x:v>Department 03</x:v>
      </x:c>
      <x:c r="C4" t="str">
        <x:v>Sales</x:v>
      </x:c>
      <x:c r="D4" s="4" t="n">
        <x:v>50</x:v>
      </x:c>
      <x:c r="E4" s="4" t="n">
        <x:v>47.5</x:v>
      </x:c>
      <x:c r="F4" s="4" t="n">
        <x:f>E4-D4</x:f>
        <x:v>-2.5</x:v>
      </x:c>
      <x:c r="G4" s="5" t="n">
        <x:f>IFERROR(E4/D4,0)</x:f>
        <x:v>0.95</x:v>
      </x:c>
      <x:c r="H4" t="str">
        <x:f>IF(E4&gt;=D4,"Met","Missed")</x:f>
        <x:v>Missed</x:v>
      </x:c>
    </x:row>
    <x:row r="5">
      <x:c r="A5" s="3" t="n">
        <x:v>46113</x:v>
      </x:c>
      <x:c r="B5" t="str">
        <x:v>Department 04</x:v>
      </x:c>
      <x:c r="C5" t="str">
        <x:v>Support</x:v>
      </x:c>
      <x:c r="D5" s="4" t="n">
        <x:v>53</x:v>
      </x:c>
      <x:c r="E5" s="4" t="n">
        <x:v>54.06</x:v>
      </x:c>
      <x:c r="F5" s="4" t="n">
        <x:f>E5-D5</x:f>
        <x:v>1.0600000000000023</x:v>
      </x:c>
      <x:c r="G5" s="5" t="n">
        <x:f>IFERROR(E5/D5,0)</x:f>
        <x:v>1.02</x:v>
      </x:c>
      <x:c r="H5" t="str">
        <x:f>IF(E5&gt;=D5,"Met","Missed")</x:f>
        <x:v>Met</x:v>
      </x:c>
    </x:row>
    <x:row r="6">
      <x:c r="A6" s="3" t="n">
        <x:v>46143</x:v>
      </x:c>
      <x:c r="B6" t="str">
        <x:v>Department 05</x:v>
      </x:c>
      <x:c r="C6" t="str">
        <x:v>Operations</x:v>
      </x:c>
      <x:c r="D6" s="4" t="n">
        <x:v>56</x:v>
      </x:c>
      <x:c r="E6" s="4" t="n">
        <x:v>47.04</x:v>
      </x:c>
      <x:c r="F6" s="4" t="n">
        <x:f>E6-D6</x:f>
        <x:v>-8.96</x:v>
      </x:c>
      <x:c r="G6" s="5" t="n">
        <x:f>IFERROR(E6/D6,0)</x:f>
        <x:v>0.84</x:v>
      </x:c>
      <x:c r="H6" t="str">
        <x:f>IF(E6&gt;=D6,"Met","Missed")</x:f>
        <x:v>Missed</x:v>
      </x:c>
    </x:row>
    <x:row r="7">
      <x:c r="A7" s="3" t="n">
        <x:v>46174</x:v>
      </x:c>
      <x:c r="B7" t="str">
        <x:v>Department 06</x:v>
      </x:c>
      <x:c r="C7" t="str">
        <x:v>Sales</x:v>
      </x:c>
      <x:c r="D7" s="4" t="n">
        <x:v>59</x:v>
      </x:c>
      <x:c r="E7" s="4" t="n">
        <x:v>53.69</x:v>
      </x:c>
      <x:c r="F7" s="4" t="n">
        <x:f>E7-D7</x:f>
        <x:v>-5.310000000000002</x:v>
      </x:c>
      <x:c r="G7" s="5" t="n">
        <x:f>IFERROR(E7/D7,0)</x:f>
        <x:v>0.9099999999999999</x:v>
      </x:c>
      <x:c r="H7" t="str">
        <x:f>IF(E7&gt;=D7,"Met","Missed")</x:f>
        <x:v>Missed</x:v>
      </x:c>
    </x:row>
    <x:row r="8">
      <x:c r="A8" s="3" t="n">
        <x:v>46204</x:v>
      </x:c>
      <x:c r="B8" t="str">
        <x:v>Department 07</x:v>
      </x:c>
      <x:c r="C8" t="str">
        <x:v>Support</x:v>
      </x:c>
      <x:c r="D8" s="4" t="n">
        <x:v>62</x:v>
      </x:c>
      <x:c r="E8" s="4" t="n">
        <x:v>60.76</x:v>
      </x:c>
      <x:c r="F8" s="4" t="n">
        <x:f>E8-D8</x:f>
        <x:v>-1.240000000000002</x:v>
      </x:c>
      <x:c r="G8" s="5" t="n">
        <x:f>IFERROR(E8/D8,0)</x:f>
        <x:v>0.98</x:v>
      </x:c>
      <x:c r="H8" t="str">
        <x:f>IF(E8&gt;=D8,"Met","Missed")</x:f>
        <x:v>Missed</x:v>
      </x:c>
    </x:row>
    <x:row r="9">
      <x:c r="A9" s="3" t="n">
        <x:v>46235</x:v>
      </x:c>
      <x:c r="B9" t="str">
        <x:v>Department 08</x:v>
      </x:c>
      <x:c r="C9" t="str">
        <x:v>Operations</x:v>
      </x:c>
      <x:c r="D9" s="4" t="n">
        <x:v>65</x:v>
      </x:c>
      <x:c r="E9" s="4" t="n">
        <x:v>68.25</x:v>
      </x:c>
      <x:c r="F9" s="4" t="n">
        <x:f>E9-D9</x:f>
        <x:v>3.25</x:v>
      </x:c>
      <x:c r="G9" s="5" t="n">
        <x:f>IFERROR(E9/D9,0)</x:f>
        <x:v>1.05</x:v>
      </x:c>
      <x:c r="H9" t="str">
        <x:f>IF(E9&gt;=D9,"Met","Missed")</x:f>
        <x:v>Met</x:v>
      </x:c>
    </x:row>
    <x:row r="10">
      <x:c r="A10" s="3" t="n">
        <x:v>46266</x:v>
      </x:c>
      <x:c r="B10" t="str">
        <x:v>Department 09</x:v>
      </x:c>
      <x:c r="C10" t="str">
        <x:v>Sales</x:v>
      </x:c>
      <x:c r="D10" s="4" t="n">
        <x:v>68</x:v>
      </x:c>
      <x:c r="E10" s="4" t="n">
        <x:v>59.16</x:v>
      </x:c>
      <x:c r="F10" s="4" t="n">
        <x:f>E10-D10</x:f>
        <x:v>-8.840000000000003</x:v>
      </x:c>
      <x:c r="G10" s="5" t="n">
        <x:f>IFERROR(E10/D10,0)</x:f>
        <x:v>0.87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Department 10</x:v>
      </x:c>
      <x:c r="C11" t="str">
        <x:v>Support</x:v>
      </x:c>
      <x:c r="D11" s="4" t="n">
        <x:v>71</x:v>
      </x:c>
      <x:c r="E11" s="4" t="n">
        <x:v>66.74</x:v>
      </x:c>
      <x:c r="F11" s="4" t="n">
        <x:f>E11-D11</x:f>
        <x:v>-4.260000000000005</x:v>
      </x:c>
      <x:c r="G11" s="5" t="n">
        <x:f>IFERROR(E11/D11,0)</x:f>
        <x:v>0.94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Department 11</x:v>
      </x:c>
      <x:c r="C12" t="str">
        <x:v>Operations</x:v>
      </x:c>
      <x:c r="D12" s="4" t="n">
        <x:v>74</x:v>
      </x:c>
      <x:c r="E12" s="4" t="n">
        <x:v>74.74</x:v>
      </x:c>
      <x:c r="F12" s="4" t="n">
        <x:f>E12-D12</x:f>
        <x:v>0.7399999999999949</x:v>
      </x:c>
      <x:c r="G12" s="5" t="n">
        <x:f>IFERROR(E12/D12,0)</x:f>
        <x:v>1.01</x:v>
      </x:c>
      <x:c r="H12" t="str">
        <x:f>IF(E12&gt;=D12,"Met","Missed")</x:f>
        <x:v>Met</x:v>
      </x:c>
    </x:row>
    <x:row r="13">
      <x:c r="A13" s="3" t="n">
        <x:v>46357</x:v>
      </x:c>
      <x:c r="B13" t="str">
        <x:v>Department 12</x:v>
      </x:c>
      <x:c r="C13" t="str">
        <x:v>Sales</x:v>
      </x:c>
      <x:c r="D13" s="4" t="n">
        <x:v>77</x:v>
      </x:c>
      <x:c r="E13" s="4" t="n">
        <x:v>63.91</x:v>
      </x:c>
      <x:c r="F13" s="4" t="n">
        <x:f>E13-D13</x:f>
        <x:v>-13.090000000000003</x:v>
      </x:c>
      <x:c r="G13" s="5" t="n">
        <x:f>IFERROR(E13/D13,0)</x:f>
        <x:v>0.83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01270fb550b347d2"/>
  </x:tableParts>
</x:worksheet>
</file>