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85367bf6e044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2ebdccafaee476d"/>
    <x:sheet xmlns:r="http://schemas.openxmlformats.org/officeDocument/2006/relationships" name="Data" sheetId="2" r:id="Rd45c4ce1aa544d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m yyyy"/>
    <x:numFmt numFmtId="201" formatCode="₹#,##0"/>
    <x:numFmt numFmtId="202" formatCode="0.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22"/>
      <x:color rgb="FFFFFFFF"/>
      <x:name val="Carlito"/>
    </x:font>
    <x:font>
      <x:i/>
      <x:sz val="11"/>
      <x:color rgb="FF12335B"/>
      <x:name val="Carlito"/>
    </x:font>
    <x:font>
      <x:b/>
      <x:sz val="18"/>
      <x:color rgb="FF0F172A"/>
      <x:name val="Carlito"/>
    </x:font>
    <x:font>
      <x:i/>
      <x:sz val="11"/>
      <x:color rgb="FF33415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35B"/>
      </x:patternFill>
    </x:fill>
    <x:fill>
      <x:patternFill patternType="solid">
        <x:fgColor rgb="FF081A33"/>
      </x:patternFill>
    </x:fill>
    <x:fill>
      <x:patternFill patternType="solid">
        <x:fgColor rgb="FFDCEBFF"/>
      </x:patternFill>
    </x:fill>
    <x:fill>
      <x:patternFill patternType="solid">
        <x:fgColor rgb="FF2563EB"/>
      </x:patternFill>
    </x:fill>
    <x:fill>
      <x:patternFill patternType="solid">
        <x:fgColor rgb="FFF8FAFC"/>
      </x:patternFill>
    </x:fill>
    <x:fill>
      <x:patternFill patternType="solid">
        <x:fgColor rgb="FFEFF6FF"/>
      </x:patternFill>
    </x:fill>
  </x:fills>
  <x:borders count="8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D8E1EC"/>
      </x:left>
      <x:right style="thin">
        <x:color rgb="FFD8E1EC"/>
      </x:right>
      <x:top style="thin">
        <x:color rgb="FFD8E1EC"/>
      </x:top>
      <x:bottom style="thin">
        <x:color rgb="FFD8E1EC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2" xfId="0" applyNumberFormat="1" applyFont="1" applyFill="1" applyBorder="1"/>
    <x:xf numFmtId="0" fontId="4" fillId="6" borderId="3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4" fillId="6" borderId="2" xfId="0" applyNumberFormat="1" applyFont="1" applyFill="1" applyBorder="1" applyAlignment="1">
      <x:alignment horizontal="center"/>
    </x:xf>
    <x:xf numFmtId="0" fontId="4" fillId="6" borderId="3" xfId="0" applyNumberFormat="1" applyFont="1" applyFill="1" applyBorder="1" applyAlignment="1">
      <x:alignment horizontal="center"/>
    </x:xf>
    <x:xf numFmtId="0" fontId="4" fillId="6" borderId="4" xfId="0" applyNumberFormat="1" applyFont="1" applyFill="1" applyBorder="1" applyAlignment="1">
      <x:alignment horizontal="center"/>
    </x:xf>
    <x:xf numFmtId="0" fontId="4" fillId="6" borderId="5" xfId="0" applyNumberFormat="1" applyFont="1" applyFill="1" applyBorder="1" applyAlignment="1">
      <x:alignment horizontal="center"/>
    </x:xf>
    <x:xf numFmtId="0" fontId="4" fillId="6" borderId="6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4" fillId="6" borderId="2" xfId="0" applyNumberFormat="1" applyFont="1" applyFill="1" applyBorder="1" applyAlignment="1">
      <x:alignment horizontal="center" vertical="center"/>
    </x:xf>
    <x:xf numFmtId="0" fontId="4" fillId="6" borderId="3" xfId="0" applyNumberFormat="1" applyFont="1" applyFill="1" applyBorder="1" applyAlignment="1">
      <x:alignment horizontal="center" vertical="center"/>
    </x:xf>
    <x:xf numFmtId="0" fontId="4" fillId="6" borderId="4" xfId="0" applyNumberFormat="1" applyFont="1" applyFill="1" applyBorder="1" applyAlignment="1">
      <x:alignment horizontal="center" vertical="center"/>
    </x:xf>
    <x:xf numFmtId="0" fontId="4" fillId="6" borderId="5" xfId="0" applyNumberFormat="1" applyFont="1" applyFill="1" applyBorder="1" applyAlignment="1">
      <x:alignment horizontal="center" vertical="center"/>
    </x:xf>
    <x:xf numFmtId="0" fontId="4" fillId="6" borderId="6" xfId="0" applyNumberFormat="1" applyFont="1" applyFill="1" applyBorder="1" applyAlignment="1">
      <x:alignment horizontal="center" vertical="center"/>
    </x:xf>
    <x:xf numFmtId="201" fontId="4" fillId="6" borderId="1" xfId="0" applyNumberFormat="1" applyFont="1" applyFill="1" applyBorder="1" applyAlignment="1">
      <x:alignment horizontal="center" vertical="center"/>
    </x:xf>
    <x:xf numFmtId="201" fontId="4" fillId="6" borderId="2" xfId="0" applyNumberFormat="1" applyFont="1" applyFill="1" applyBorder="1" applyAlignment="1">
      <x:alignment horizontal="center" vertical="center"/>
    </x:xf>
    <x:xf numFmtId="201" fontId="4" fillId="6" borderId="4" xfId="0" applyNumberFormat="1" applyFont="1" applyFill="1" applyBorder="1" applyAlignment="1">
      <x:alignment horizontal="center" vertical="center"/>
    </x:xf>
    <x:xf numFmtId="201" fontId="4" fillId="6" borderId="5" xfId="0" applyNumberFormat="1" applyFont="1" applyFill="1" applyBorder="1" applyAlignment="1">
      <x:alignment horizontal="center" vertical="center"/>
    </x:xf>
    <x:xf numFmtId="202" fontId="4" fillId="6" borderId="2" xfId="0" applyNumberFormat="1" applyFont="1" applyFill="1" applyBorder="1" applyAlignment="1">
      <x:alignment horizontal="center" vertical="center"/>
    </x:xf>
    <x:xf numFmtId="202" fontId="4" fillId="6" borderId="3" xfId="0" applyNumberFormat="1" applyFont="1" applyFill="1" applyBorder="1" applyAlignment="1">
      <x:alignment horizontal="center" vertical="center"/>
    </x:xf>
    <x:xf numFmtId="202" fontId="4" fillId="6" borderId="5" xfId="0" applyNumberFormat="1" applyFont="1" applyFill="1" applyBorder="1" applyAlignment="1">
      <x:alignment horizontal="center" vertical="center"/>
    </x:xf>
    <x:xf numFmtId="202" fontId="4" fillId="6" borderId="6" xfId="0" applyNumberFormat="1" applyFont="1" applyFill="1" applyBorder="1" applyAlignment="1">
      <x:alignment horizontal="center" vertical="center"/>
    </x:xf>
    <x:xf numFmtId="0" fontId="1" fillId="2" borderId="7" xfId="0" applyNumberFormat="1" applyFont="1" applyFill="1" applyBorder="1"/>
    <x:xf numFmtId="0" fontId="0" fillId="0" borderId="7" xfId="0" applyNumberFormat="1" applyFont="1" applyFill="1" applyBorder="1"/>
    <x:xf numFmtId="201" fontId="0" fillId="0" borderId="7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f5e88391f543b2" /><Relationship Type="http://schemas.openxmlformats.org/officeDocument/2006/relationships/theme" Target="/xl/theme/theme1.xml" Id="R4f81d57d1bf743d0" /><Relationship Type="http://schemas.openxmlformats.org/officeDocument/2006/relationships/sharedStrings" Target="/xl/sharedStrings.xml" Id="Rdb511bcb41854d02" /><Relationship Type="http://schemas.openxmlformats.org/officeDocument/2006/relationships/worksheet" Target="/xl/worksheets/sheet1.xml" Id="R12ebdccafaee476d" /><Relationship Type="http://schemas.openxmlformats.org/officeDocument/2006/relationships/worksheet" Target="/xl/worksheets/sheet2.xml" Id="Rd45c4ce1aa544dd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22bab6cbd624c1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Net pay vs Gross pay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Gross pay</c:v>
          </c:tx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'Dashboard'!$B$11:$B$13</c:f>
              <c:numCache>
                <c:formatCode>₹#,##0</c:formatCode>
                <c:ptCount val="0"/>
              </c:numCache>
            </c:numRef>
          </c:val>
        </c:ser>
        <c:ser>
          <c:idx val="1"/>
          <c:order val="1"/>
          <c:tx>
            <c:v>Net pay</c:v>
          </c:tx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'Dashboard'!$C$11:$C$13</c:f>
              <c:numCache>
                <c:formatCode>₹#,##0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₹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9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22bab6cbd624c1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jectTable07" displayName="ProjectTable07" ref="A1:H13" headerRowCount="1" totalsRowCount="0" totalsRowShown="0">
  <x:tableColumns count="8">
    <x:tableColumn id="1" name="Date"/>
    <x:tableColumn id="2" name="Employee"/>
    <x:tableColumn id="3" name="Category"/>
    <x:tableColumn id="4" name="Gross pay"/>
    <x:tableColumn id="5" name="Net pay"/>
    <x:tableColumn id="6" name="Variance"/>
    <x:tableColumn id="7" name="Achievement"/>
    <x:tableColumn id="8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b80e07a4b31421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8dde94f75f44f7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8" t="str">
        <x:v>Payroll Calculator</x:v>
      </x:c>
      <x:c r="B1" s="8"/>
      <x:c r="C1" s="8"/>
      <x:c r="D1" s="8"/>
      <x:c r="E1" s="8"/>
      <x:c r="F1" s="8"/>
      <x:c r="G1" s="8"/>
      <x:c r="H1" s="8"/>
    </x:row>
    <x:row r="2" ht="34" customHeight="1">
      <x:c r="A2" s="8"/>
      <x:c r="B2" s="8"/>
      <x:c r="C2" s="8"/>
      <x:c r="D2" s="8"/>
      <x:c r="E2" s="8"/>
      <x:c r="F2" s="8"/>
      <x:c r="G2" s="8"/>
      <x:c r="H2" s="8"/>
    </x:row>
    <x:row r="3" ht="22" customHeight="1">
      <x:c r="A3" s="10" t="str">
        <x:v>Formula-driven portfolio workbook - edit the Data sheet to update every KPI and chart</x:v>
      </x:c>
      <x:c r="B3" s="10"/>
      <x:c r="C3" s="10"/>
      <x:c r="D3" s="10"/>
      <x:c r="E3" s="10"/>
      <x:c r="F3" s="10"/>
      <x:c r="G3" s="10"/>
      <x:c r="H3" s="10"/>
    </x:row>
    <x:row r="4" ht="22" customHeight="1"/>
    <x:row r="5" ht="22" customHeight="1">
      <x:c r="A5" s="13" t="str">
        <x:v>Gross pay total</x:v>
      </x:c>
      <x:c r="B5" s="13"/>
      <x:c r="C5" s="13" t="str">
        <x:v>Net pay total</x:v>
      </x:c>
      <x:c r="D5" s="13"/>
      <x:c r="E5" s="13" t="str">
        <x:v>Achievement</x:v>
      </x:c>
      <x:c r="F5" s="13"/>
    </x:row>
    <x:row r="6" ht="22" customHeight="1">
      <x:c r="A6" s="34" t="n">
        <x:f>SUM('Data'!D2:D13)</x:f>
        <x:v>258000</x:v>
      </x:c>
      <x:c r="B6" s="35"/>
      <x:c r="C6" s="35" t="n">
        <x:f>SUM('Data'!E2:E13)</x:f>
        <x:v>242734</x:v>
      </x:c>
      <x:c r="D6" s="35"/>
      <x:c r="E6" s="38" t="n">
        <x:f>IFERROR(C6/A6,0)</x:f>
        <x:v>0.9408294573643411</x:v>
      </x:c>
      <x:c r="F6" s="39"/>
    </x:row>
    <x:row r="7" ht="22" customHeight="1">
      <x:c r="A7" s="36"/>
      <x:c r="B7" s="37"/>
      <x:c r="C7" s="37"/>
      <x:c r="D7" s="37"/>
      <x:c r="E7" s="40"/>
      <x:c r="F7" s="41"/>
    </x:row>
    <x:row r="8" ht="22" customHeight="1"/>
    <x:row r="9" ht="22" customHeight="1"/>
    <x:row r="10" ht="22" customHeight="1">
      <x:c r="A10" s="42" t="str">
        <x:v>Category</x:v>
      </x:c>
      <x:c r="B10" s="42" t="str">
        <x:v>Gross pay</x:v>
      </x:c>
      <x:c r="C10" s="42" t="str">
        <x:v>Net pay</x:v>
      </x:c>
    </x:row>
    <x:row r="11" ht="22" customHeight="1">
      <x:c r="A11" s="43" t="str">
        <x:v>Support</x:v>
      </x:c>
      <x:c r="B11" s="44" t="n">
        <x:f>SUMIF('Data'!$C$2:$C$13,A11,'Data'!$D$2:$D$13)</x:f>
        <x:v>82400</x:v>
      </x:c>
      <x:c r="C11" s="44" t="n">
        <x:f>SUMIF('Data'!$C$2:$C$13,A11,'Data'!$E$2:$E$13)</x:f>
        <x:v>79502</x:v>
      </x:c>
    </x:row>
    <x:row r="12" ht="22" customHeight="1">
      <x:c r="A12" s="43" t="str">
        <x:v>IT</x:v>
      </x:c>
      <x:c r="B12" s="44" t="n">
        <x:f>SUMIF('Data'!$C$2:$C$13,A12,'Data'!$D$2:$D$13)</x:f>
        <x:v>86000</x:v>
      </x:c>
      <x:c r="C12" s="44" t="n">
        <x:f>SUMIF('Data'!$C$2:$C$13,A12,'Data'!$E$2:$E$13)</x:f>
        <x:v>76860</x:v>
      </x:c>
    </x:row>
    <x:row r="13" ht="22" customHeight="1">
      <x:c r="A13" s="43" t="str">
        <x:v>Sales</x:v>
      </x:c>
      <x:c r="B13" s="44" t="n">
        <x:f>SUMIF('Data'!$C$2:$C$13,A13,'Data'!$D$2:$D$13)</x:f>
        <x:v>89600</x:v>
      </x:c>
      <x:c r="C13" s="44" t="n">
        <x:f>SUMIF('Data'!$C$2:$C$13,A13,'Data'!$E$2:$E$13)</x:f>
        <x:v>86372</x:v>
      </x:c>
    </x:row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>
      <x:c r="A28" s="47" t="str">
        <x:v>Synthetic portfolio data. Replace rows on the Data sheet; formulas and chart update automatically.</x:v>
      </x:c>
      <x:c r="B28" s="47"/>
      <x:c r="C28" s="47"/>
      <x:c r="D28" s="47"/>
      <x:c r="E28" s="47"/>
      <x:c r="F28" s="47"/>
      <x:c r="G28" s="47"/>
      <x:c r="H28" s="47"/>
    </x:row>
    <x:row r="29" ht="22" customHeight="1">
      <x:c r="A29" s="47"/>
      <x:c r="B29" s="47"/>
      <x:c r="C29" s="47"/>
      <x:c r="D29" s="47"/>
      <x:c r="E29" s="47"/>
      <x:c r="F29" s="47"/>
      <x:c r="G29" s="47"/>
      <x:c r="H29" s="47"/>
    </x:row>
  </x:sheetData>
  <x:mergeCells>
    <x:mergeCell ref="A1:H2"/>
    <x:mergeCell ref="A3:H3"/>
    <x:mergeCell ref="A5:B5"/>
    <x:mergeCell ref="C5:D5"/>
    <x:mergeCell ref="E5:F5"/>
    <x:mergeCell ref="A6:B7"/>
    <x:mergeCell ref="C6:D7"/>
    <x:mergeCell ref="E6:F7"/>
    <x:mergeCell ref="A28:H29"/>
  </x:mergeCells>
  <x:pageMargins left="0.7" right="0.7" top="0.75" bottom="0.75" header="0.3" footer="0.3"/>
  <x:drawing xmlns:r="http://schemas.openxmlformats.org/officeDocument/2006/relationships" r:id="R2b80e07a4b31421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670000076293945" hidden="0" customWidth="1"/>
    <x:col min="2" max="2" width="24" hidden="0" customWidth="1"/>
    <x:col min="3" max="3" width="9.779999732971191" hidden="0" customWidth="1"/>
    <x:col min="4" max="4" width="10.670000076293945" hidden="0" customWidth="1"/>
    <x:col min="5" max="5" width="8.5600004196167" hidden="0" customWidth="1"/>
    <x:col min="6" max="6" width="9.5600004196167" hidden="0" customWidth="1"/>
    <x:col min="7" max="7" width="12.890000343322754" hidden="0" customWidth="1"/>
    <x:col min="8" max="8" width="7.670000076293945" hidden="0" customWidth="1"/>
  </x:cols>
  <x:sheetData>
    <x:row r="1" ht="28" customHeight="1">
      <x:c r="A1" s="2" t="str">
        <x:v>Date</x:v>
      </x:c>
      <x:c r="B1" s="2" t="str">
        <x:v>Employee</x:v>
      </x:c>
      <x:c r="C1" s="2" t="str">
        <x:v>Category</x:v>
      </x:c>
      <x:c r="D1" s="2" t="str">
        <x:v>Gross pay</x:v>
      </x:c>
      <x:c r="E1" s="2" t="str">
        <x:v>Net pay</x:v>
      </x:c>
      <x:c r="F1" s="2" t="str">
        <x:v>Variance</x:v>
      </x:c>
      <x:c r="G1" s="2" t="str">
        <x:v>Achievement</x:v>
      </x:c>
      <x:c r="H1" s="2" t="str">
        <x:v>Status</x:v>
      </x:c>
    </x:row>
    <x:row r="2">
      <x:c r="A2" s="3" t="n">
        <x:v>46023</x:v>
      </x:c>
      <x:c r="B2" t="str">
        <x:v>Employee 01</x:v>
      </x:c>
      <x:c r="C2" t="str">
        <x:v>Support</x:v>
      </x:c>
      <x:c r="D2" s="4" t="n">
        <x:v>16550</x:v>
      </x:c>
      <x:c r="E2" s="4" t="n">
        <x:v>14729.5</x:v>
      </x:c>
      <x:c r="F2" s="4" t="n">
        <x:f>E2-D2</x:f>
        <x:v>-1820.5</x:v>
      </x:c>
      <x:c r="G2" s="5" t="n">
        <x:f>IFERROR(E2/D2,0)</x:f>
        <x:v>0.89</x:v>
      </x:c>
      <x:c r="H2" t="str">
        <x:f>IF(E2&lt;=D2,"Met","Missed")</x:f>
        <x:v>Met</x:v>
      </x:c>
    </x:row>
    <x:row r="3">
      <x:c r="A3" s="3" t="n">
        <x:v>46054</x:v>
      </x:c>
      <x:c r="B3" t="str">
        <x:v>Employee 02</x:v>
      </x:c>
      <x:c r="C3" t="str">
        <x:v>IT</x:v>
      </x:c>
      <x:c r="D3" s="4" t="n">
        <x:v>17450</x:v>
      </x:c>
      <x:c r="E3" s="4" t="n">
        <x:v>16752</x:v>
      </x:c>
      <x:c r="F3" s="4" t="n">
        <x:f>E3-D3</x:f>
        <x:v>-698</x:v>
      </x:c>
      <x:c r="G3" s="5" t="n">
        <x:f>IFERROR(E3/D3,0)</x:f>
        <x:v>0.96</x:v>
      </x:c>
      <x:c r="H3" t="str">
        <x:f>IF(E3&lt;=D3,"Met","Missed")</x:f>
        <x:v>Met</x:v>
      </x:c>
    </x:row>
    <x:row r="4">
      <x:c r="A4" s="3" t="n">
        <x:v>46082</x:v>
      </x:c>
      <x:c r="B4" t="str">
        <x:v>Employee 03</x:v>
      </x:c>
      <x:c r="C4" t="str">
        <x:v>Sales</x:v>
      </x:c>
      <x:c r="D4" s="4" t="n">
        <x:v>18350</x:v>
      </x:c>
      <x:c r="E4" s="4" t="n">
        <x:v>18900.5</x:v>
      </x:c>
      <x:c r="F4" s="4" t="n">
        <x:f>E4-D4</x:f>
        <x:v>550.5</x:v>
      </x:c>
      <x:c r="G4" s="5" t="n">
        <x:f>IFERROR(E4/D4,0)</x:f>
        <x:v>1.03</x:v>
      </x:c>
      <x:c r="H4" t="str">
        <x:f>IF(E4&lt;=D4,"Met","Missed")</x:f>
        <x:v>Missed</x:v>
      </x:c>
    </x:row>
    <x:row r="5">
      <x:c r="A5" s="3" t="n">
        <x:v>46113</x:v>
      </x:c>
      <x:c r="B5" t="str">
        <x:v>Employee 04</x:v>
      </x:c>
      <x:c r="C5" t="str">
        <x:v>Support</x:v>
      </x:c>
      <x:c r="D5" s="4" t="n">
        <x:v>19250</x:v>
      </x:c>
      <x:c r="E5" s="4" t="n">
        <x:v>16362.5</x:v>
      </x:c>
      <x:c r="F5" s="4" t="n">
        <x:f>E5-D5</x:f>
        <x:v>-2887.5</x:v>
      </x:c>
      <x:c r="G5" s="5" t="n">
        <x:f>IFERROR(E5/D5,0)</x:f>
        <x:v>0.85</x:v>
      </x:c>
      <x:c r="H5" t="str">
        <x:f>IF(E5&lt;=D5,"Met","Missed")</x:f>
        <x:v>Met</x:v>
      </x:c>
    </x:row>
    <x:row r="6">
      <x:c r="A6" s="3" t="n">
        <x:v>46143</x:v>
      </x:c>
      <x:c r="B6" t="str">
        <x:v>Employee 05</x:v>
      </x:c>
      <x:c r="C6" t="str">
        <x:v>IT</x:v>
      </x:c>
      <x:c r="D6" s="4" t="n">
        <x:v>20150</x:v>
      </x:c>
      <x:c r="E6" s="4" t="n">
        <x:v>18538</x:v>
      </x:c>
      <x:c r="F6" s="4" t="n">
        <x:f>E6-D6</x:f>
        <x:v>-1612</x:v>
      </x:c>
      <x:c r="G6" s="5" t="n">
        <x:f>IFERROR(E6/D6,0)</x:f>
        <x:v>0.92</x:v>
      </x:c>
      <x:c r="H6" t="str">
        <x:f>IF(E6&lt;=D6,"Met","Missed")</x:f>
        <x:v>Met</x:v>
      </x:c>
    </x:row>
    <x:row r="7">
      <x:c r="A7" s="3" t="n">
        <x:v>46174</x:v>
      </x:c>
      <x:c r="B7" t="str">
        <x:v>Employee 06</x:v>
      </x:c>
      <x:c r="C7" t="str">
        <x:v>Sales</x:v>
      </x:c>
      <x:c r="D7" s="4" t="n">
        <x:v>21050</x:v>
      </x:c>
      <x:c r="E7" s="4" t="n">
        <x:v>20839.5</x:v>
      </x:c>
      <x:c r="F7" s="4" t="n">
        <x:f>E7-D7</x:f>
        <x:v>-210.5</x:v>
      </x:c>
      <x:c r="G7" s="5" t="n">
        <x:f>IFERROR(E7/D7,0)</x:f>
        <x:v>0.99</x:v>
      </x:c>
      <x:c r="H7" t="str">
        <x:f>IF(E7&lt;=D7,"Met","Missed")</x:f>
        <x:v>Met</x:v>
      </x:c>
    </x:row>
    <x:row r="8">
      <x:c r="A8" s="3" t="n">
        <x:v>46204</x:v>
      </x:c>
      <x:c r="B8" t="str">
        <x:v>Employee 07</x:v>
      </x:c>
      <x:c r="C8" t="str">
        <x:v>Support</x:v>
      </x:c>
      <x:c r="D8" s="4" t="n">
        <x:v>21950</x:v>
      </x:c>
      <x:c r="E8" s="4" t="n">
        <x:v>23267</x:v>
      </x:c>
      <x:c r="F8" s="4" t="n">
        <x:f>E8-D8</x:f>
        <x:v>1317</x:v>
      </x:c>
      <x:c r="G8" s="5" t="n">
        <x:f>IFERROR(E8/D8,0)</x:f>
        <x:v>1.06</x:v>
      </x:c>
      <x:c r="H8" t="str">
        <x:f>IF(E8&lt;=D8,"Met","Missed")</x:f>
        <x:v>Missed</x:v>
      </x:c>
    </x:row>
    <x:row r="9">
      <x:c r="A9" s="3" t="n">
        <x:v>46235</x:v>
      </x:c>
      <x:c r="B9" t="str">
        <x:v>Employee 08</x:v>
      </x:c>
      <x:c r="C9" t="str">
        <x:v>IT</x:v>
      </x:c>
      <x:c r="D9" s="4" t="n">
        <x:v>22850</x:v>
      </x:c>
      <x:c r="E9" s="4" t="n">
        <x:v>20108</x:v>
      </x:c>
      <x:c r="F9" s="4" t="n">
        <x:f>E9-D9</x:f>
        <x:v>-2742</x:v>
      </x:c>
      <x:c r="G9" s="5" t="n">
        <x:f>IFERROR(E9/D9,0)</x:f>
        <x:v>0.88</x:v>
      </x:c>
      <x:c r="H9" t="str">
        <x:f>IF(E9&lt;=D9,"Met","Missed")</x:f>
        <x:v>Met</x:v>
      </x:c>
    </x:row>
    <x:row r="10">
      <x:c r="A10" s="3" t="n">
        <x:v>46266</x:v>
      </x:c>
      <x:c r="B10" t="str">
        <x:v>Employee 09</x:v>
      </x:c>
      <x:c r="C10" t="str">
        <x:v>Sales</x:v>
      </x:c>
      <x:c r="D10" s="4" t="n">
        <x:v>23750</x:v>
      </x:c>
      <x:c r="E10" s="4" t="n">
        <x:v>22562.5</x:v>
      </x:c>
      <x:c r="F10" s="4" t="n">
        <x:f>E10-D10</x:f>
        <x:v>-1187.5</x:v>
      </x:c>
      <x:c r="G10" s="5" t="n">
        <x:f>IFERROR(E10/D10,0)</x:f>
        <x:v>0.95</x:v>
      </x:c>
      <x:c r="H10" t="str">
        <x:f>IF(E10&lt;=D10,"Met","Missed")</x:f>
        <x:v>Met</x:v>
      </x:c>
    </x:row>
    <x:row r="11">
      <x:c r="A11" s="3" t="n">
        <x:v>46296</x:v>
      </x:c>
      <x:c r="B11" t="str">
        <x:v>Employee 10</x:v>
      </x:c>
      <x:c r="C11" t="str">
        <x:v>Support</x:v>
      </x:c>
      <x:c r="D11" s="4" t="n">
        <x:v>24650</x:v>
      </x:c>
      <x:c r="E11" s="4" t="n">
        <x:v>25143</x:v>
      </x:c>
      <x:c r="F11" s="4" t="n">
        <x:f>E11-D11</x:f>
        <x:v>493</x:v>
      </x:c>
      <x:c r="G11" s="5" t="n">
        <x:f>IFERROR(E11/D11,0)</x:f>
        <x:v>1.02</x:v>
      </x:c>
      <x:c r="H11" t="str">
        <x:f>IF(E11&lt;=D11,"Met","Missed")</x:f>
        <x:v>Missed</x:v>
      </x:c>
    </x:row>
    <x:row r="12">
      <x:c r="A12" s="3" t="n">
        <x:v>46327</x:v>
      </x:c>
      <x:c r="B12" t="str">
        <x:v>Employee 11</x:v>
      </x:c>
      <x:c r="C12" t="str">
        <x:v>IT</x:v>
      </x:c>
      <x:c r="D12" s="4" t="n">
        <x:v>25550</x:v>
      </x:c>
      <x:c r="E12" s="4" t="n">
        <x:v>21462</x:v>
      </x:c>
      <x:c r="F12" s="4" t="n">
        <x:f>E12-D12</x:f>
        <x:v>-4088</x:v>
      </x:c>
      <x:c r="G12" s="5" t="n">
        <x:f>IFERROR(E12/D12,0)</x:f>
        <x:v>0.84</x:v>
      </x:c>
      <x:c r="H12" t="str">
        <x:f>IF(E12&lt;=D12,"Met","Missed")</x:f>
        <x:v>Met</x:v>
      </x:c>
    </x:row>
    <x:row r="13">
      <x:c r="A13" s="3" t="n">
        <x:v>46357</x:v>
      </x:c>
      <x:c r="B13" t="str">
        <x:v>Employee 12</x:v>
      </x:c>
      <x:c r="C13" t="str">
        <x:v>Sales</x:v>
      </x:c>
      <x:c r="D13" s="4" t="n">
        <x:v>26450</x:v>
      </x:c>
      <x:c r="E13" s="4" t="n">
        <x:v>24069.5</x:v>
      </x:c>
      <x:c r="F13" s="4" t="n">
        <x:f>E13-D13</x:f>
        <x:v>-2380.5</x:v>
      </x:c>
      <x:c r="G13" s="5" t="n">
        <x:f>IFERROR(E13/D13,0)</x:f>
        <x:v>0.91</x:v>
      </x:c>
      <x:c r="H13" t="str">
        <x:f>IF(E13&lt;=D13,"Met","Missed")</x:f>
        <x:v>Met</x:v>
      </x:c>
    </x:row>
  </x:sheetData>
  <x:conditionalFormatting sqref="H2:H13">
    <x:cfRule type="containsText" dxfId="0" priority="1" operator="containsText" text="Met"/>
    <x:cfRule type="containsText" dxfId="1" priority="2" operator="containsText" text="Missed"/>
  </x:conditionalFormatting>
  <x:pageMargins left="0.7" right="0.7" top="0.75" bottom="0.75" header="0.3" footer="0.3"/>
  <x:tableParts count="1">
    <x:tablePart xmlns:r="http://schemas.openxmlformats.org/officeDocument/2006/relationships" r:id="R78dde94f75f44f7e"/>
  </x:tableParts>
</x:worksheet>
</file>